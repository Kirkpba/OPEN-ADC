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2A6A5B18-E5A5-4E52-9185-4CA5AF0382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ankings" sheetId="1" r:id="rId1"/>
    <sheet name="Blind Key" sheetId="2" r:id="rId2"/>
    <sheet name="Time Result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38" i="1" l="1"/>
  <c r="AJ37" i="1"/>
  <c r="AJ36" i="1"/>
  <c r="AJ35" i="1"/>
  <c r="AW13" i="1"/>
  <c r="AW12" i="1"/>
  <c r="AW11" i="1"/>
  <c r="AW10" i="1"/>
  <c r="Q51" i="1"/>
  <c r="Q54" i="1"/>
  <c r="Q53" i="1"/>
  <c r="Q52" i="1"/>
</calcChain>
</file>

<file path=xl/sharedStrings.xml><?xml version="1.0" encoding="utf-8"?>
<sst xmlns="http://schemas.openxmlformats.org/spreadsheetml/2006/main" count="365" uniqueCount="81">
  <si>
    <t>AI Rankings</t>
  </si>
  <si>
    <t>Human Rankings</t>
  </si>
  <si>
    <t>Human-AI Combined Rankings</t>
  </si>
  <si>
    <t>Blind Results</t>
  </si>
  <si>
    <t>Actual Results, decryptied with key</t>
  </si>
  <si>
    <t xml:space="preserve">Best Ranking Local AI Model </t>
  </si>
  <si>
    <t>AI Model Ranking 1: Gemma4</t>
  </si>
  <si>
    <t>Human Ranking 1: Collin Lambert</t>
  </si>
  <si>
    <t>Combined Ranking</t>
  </si>
  <si>
    <t>Models</t>
  </si>
  <si>
    <t>Questions</t>
  </si>
  <si>
    <t>Rankings</t>
  </si>
  <si>
    <t>Q1</t>
  </si>
  <si>
    <t>Q2</t>
  </si>
  <si>
    <t>Q3</t>
  </si>
  <si>
    <t>Q4</t>
  </si>
  <si>
    <t>Q5</t>
  </si>
  <si>
    <t>Q6</t>
  </si>
  <si>
    <t>Total Points</t>
  </si>
  <si>
    <t>Gemma4</t>
  </si>
  <si>
    <t>Llama3.1</t>
  </si>
  <si>
    <t>Qwen3.5</t>
  </si>
  <si>
    <t>Ministral-3</t>
  </si>
  <si>
    <t>Claude</t>
  </si>
  <si>
    <t>Human 1</t>
  </si>
  <si>
    <t>Human 2</t>
  </si>
  <si>
    <t>Human 3</t>
  </si>
  <si>
    <t>AI Model 1</t>
  </si>
  <si>
    <t>AI Model 2</t>
  </si>
  <si>
    <t>AI Model 3</t>
  </si>
  <si>
    <t>AI Model 4</t>
  </si>
  <si>
    <t>AI Model Ranking 2: Llama3.1</t>
  </si>
  <si>
    <t>Human Ranking 2: Parker Allred</t>
  </si>
  <si>
    <t>AI Model Ranking 3: Qwen3.5</t>
  </si>
  <si>
    <t>Human Ranking 3: Ziyuan Guo</t>
  </si>
  <si>
    <t>AI Model Ranking 4: Ministral-3</t>
  </si>
  <si>
    <t>AI Models Points Per Ranking - Human</t>
  </si>
  <si>
    <t xml:space="preserve">Human Ranking Point Totals </t>
  </si>
  <si>
    <t>180 points available</t>
  </si>
  <si>
    <t>Points</t>
  </si>
  <si>
    <t>AI Model Ranking 5: Claude</t>
  </si>
  <si>
    <t>AI Models Points Per Ranking - AI</t>
  </si>
  <si>
    <t xml:space="preserve">AI Ranking Point Totals </t>
  </si>
  <si>
    <t>300 points available</t>
  </si>
  <si>
    <t>Blind Key Decryption</t>
  </si>
  <si>
    <t>AI Model Order</t>
  </si>
  <si>
    <t>Gemma 4</t>
  </si>
  <si>
    <t>llama3.1</t>
  </si>
  <si>
    <t>Ministeral-3</t>
  </si>
  <si>
    <t>Time Results</t>
  </si>
  <si>
    <t>Time the Models took to Answer Each Question (Hours : Minutes : Seconds : Miliseconds)</t>
  </si>
  <si>
    <t>Average Time</t>
  </si>
  <si>
    <t>models</t>
  </si>
  <si>
    <t>00:01:31:59</t>
  </si>
  <si>
    <t>00:01:40:08</t>
  </si>
  <si>
    <t>00:01:46:28</t>
  </si>
  <si>
    <t>00:01:30:43</t>
  </si>
  <si>
    <t>00:01:16:76</t>
  </si>
  <si>
    <t>00:01:11:24</t>
  </si>
  <si>
    <t>00:01:29:40</t>
  </si>
  <si>
    <t>00:01:35:11</t>
  </si>
  <si>
    <t>00:00:29:64</t>
  </si>
  <si>
    <t>00:00:32:33</t>
  </si>
  <si>
    <t>00:01:07:40</t>
  </si>
  <si>
    <t>00:01:02:86</t>
  </si>
  <si>
    <t>00:00:43:65</t>
  </si>
  <si>
    <t>00:00:54:71</t>
  </si>
  <si>
    <t>00:36:44:18</t>
  </si>
  <si>
    <t>00:18:46:39</t>
  </si>
  <si>
    <t>00:23:13:76</t>
  </si>
  <si>
    <t>01:02:19:27</t>
  </si>
  <si>
    <t>00:14:23:24</t>
  </si>
  <si>
    <t>00:20:32:90</t>
  </si>
  <si>
    <t>00:29:19:55</t>
  </si>
  <si>
    <t>00:01:52:74</t>
  </si>
  <si>
    <t>00:01:03:85</t>
  </si>
  <si>
    <t>00:01:07:28</t>
  </si>
  <si>
    <t>00:02:12:25</t>
  </si>
  <si>
    <t>00:01:14:55</t>
  </si>
  <si>
    <t>00:00:55:38</t>
  </si>
  <si>
    <t>00:01:23:88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</si>
</sst>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242424"/>
      <name val="Aptos Narrow"/>
      <charset val="1"/>
    </font>
    <font>
      <sz val="8"/>
      <name val="Times New Roman"/>
      <charset val="1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578FF"/>
        <bgColor indexed="64"/>
      </patternFill>
    </fill>
    <fill>
      <patternFill patternType="solid">
        <fgColor rgb="FFDFCFFF"/>
        <bgColor indexed="64"/>
      </patternFill>
    </fill>
    <fill>
      <patternFill patternType="solid">
        <fgColor rgb="FF6CBD94"/>
        <bgColor indexed="64"/>
      </patternFill>
    </fill>
    <fill>
      <patternFill patternType="solid">
        <fgColor rgb="FFBAD9CA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0" fillId="4" borderId="0" xfId="0" applyFill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/>
    <xf numFmtId="0" fontId="8" fillId="10" borderId="0" xfId="0" applyFont="1" applyFill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2" fillId="11" borderId="31" xfId="0" applyFont="1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9" fillId="0" borderId="0" xfId="0" applyFont="1" applyAlignment="1">
      <alignment readingOrder="1"/>
    </xf>
    <xf numFmtId="0" fontId="0" fillId="12" borderId="0" xfId="0" applyFill="1"/>
    <xf numFmtId="0" fontId="0" fillId="12" borderId="0" xfId="0" applyFill="1" applyAlignment="1">
      <alignment horizontal="center" vertical="center"/>
    </xf>
    <xf numFmtId="0" fontId="2" fillId="13" borderId="23" xfId="0" applyFont="1" applyFill="1" applyBorder="1" applyAlignment="1">
      <alignment horizontal="center" vertical="center"/>
    </xf>
    <xf numFmtId="0" fontId="3" fillId="13" borderId="23" xfId="0" applyFont="1" applyFill="1" applyBorder="1" applyAlignment="1">
      <alignment horizontal="center" vertical="center"/>
    </xf>
    <xf numFmtId="0" fontId="0" fillId="13" borderId="23" xfId="0" applyFill="1" applyBorder="1" applyAlignment="1">
      <alignment horizontal="center" vertical="center"/>
    </xf>
    <xf numFmtId="0" fontId="3" fillId="13" borderId="39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" fillId="13" borderId="39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0" fillId="13" borderId="26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" fillId="13" borderId="39" xfId="0" applyFont="1" applyFill="1" applyBorder="1" applyAlignment="1">
      <alignment horizontal="center" vertical="center"/>
    </xf>
    <xf numFmtId="0" fontId="1" fillId="13" borderId="23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2" fillId="13" borderId="4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FCFFF"/>
      <color rgb="FFBAD9CA"/>
      <color rgb="FF4472C4"/>
      <color rgb="FF6CBD94"/>
      <color rgb="FF9BC4B0"/>
      <color rgb="FFC4FFE9"/>
      <color rgb="FF8FFFD4"/>
      <color rgb="FFC7FFF6"/>
      <color rgb="FF8FFFEC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Model Ranking 5: Claude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Rankings!$J$42</c:f>
              <c:strCache>
                <c:ptCount val="1"/>
                <c:pt idx="0">
                  <c:v>Gemma4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Rankings!$K$42:$P$42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0-4D45-80BC-E75115F87321}"/>
            </c:ext>
          </c:extLst>
        </c:ser>
        <c:ser>
          <c:idx val="1"/>
          <c:order val="1"/>
          <c:tx>
            <c:strRef>
              <c:f>Rankings!$J$43</c:f>
              <c:strCache>
                <c:ptCount val="1"/>
                <c:pt idx="0">
                  <c:v>Llama3.1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Rankings!$K$43:$P$43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E0-4D45-80BC-E75115F87321}"/>
            </c:ext>
          </c:extLst>
        </c:ser>
        <c:ser>
          <c:idx val="2"/>
          <c:order val="2"/>
          <c:tx>
            <c:strRef>
              <c:f>Rankings!$J$44</c:f>
              <c:strCache>
                <c:ptCount val="1"/>
                <c:pt idx="0">
                  <c:v>Qwen3.5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Rankings!$K$44:$P$44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E0-4D45-80BC-E75115F87321}"/>
            </c:ext>
          </c:extLst>
        </c:ser>
        <c:ser>
          <c:idx val="3"/>
          <c:order val="3"/>
          <c:tx>
            <c:strRef>
              <c:f>Rankings!$J$45</c:f>
              <c:strCache>
                <c:ptCount val="1"/>
                <c:pt idx="0">
                  <c:v>Ministral-3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Rankings!$K$45:$P$45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E0-4D45-80BC-E75115F87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6841479"/>
        <c:axId val="1516888583"/>
      </c:lineChart>
      <c:catAx>
        <c:axId val="1516841479"/>
        <c:scaling>
          <c:orientation val="minMax"/>
        </c:scaling>
        <c:delete val="0"/>
        <c:axPos val="t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888583"/>
        <c:crosses val="autoZero"/>
        <c:auto val="1"/>
        <c:lblAlgn val="ctr"/>
        <c:lblOffset val="100"/>
        <c:noMultiLvlLbl val="0"/>
      </c:catAx>
      <c:valAx>
        <c:axId val="151688858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841479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Model Ranking 4: Ministral-3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Rankings!$J$34</c:f>
              <c:strCache>
                <c:ptCount val="1"/>
                <c:pt idx="0">
                  <c:v>Gemma4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Rankings!$K$34:$P$34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67-4925-9436-D2CCA26AD412}"/>
            </c:ext>
          </c:extLst>
        </c:ser>
        <c:ser>
          <c:idx val="1"/>
          <c:order val="1"/>
          <c:tx>
            <c:strRef>
              <c:f>Rankings!$J$35</c:f>
              <c:strCache>
                <c:ptCount val="1"/>
                <c:pt idx="0">
                  <c:v>Llama3.1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Rankings!$K$35:$P$35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67-4925-9436-D2CCA26AD412}"/>
            </c:ext>
          </c:extLst>
        </c:ser>
        <c:ser>
          <c:idx val="2"/>
          <c:order val="2"/>
          <c:tx>
            <c:strRef>
              <c:f>Rankings!$J$36</c:f>
              <c:strCache>
                <c:ptCount val="1"/>
                <c:pt idx="0">
                  <c:v>Qwen3.5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Rankings!$K$36:$P$36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67-4925-9436-D2CCA26AD412}"/>
            </c:ext>
          </c:extLst>
        </c:ser>
        <c:ser>
          <c:idx val="3"/>
          <c:order val="3"/>
          <c:tx>
            <c:strRef>
              <c:f>Rankings!$J$37</c:f>
              <c:strCache>
                <c:ptCount val="1"/>
                <c:pt idx="0">
                  <c:v>Ministral-3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Rankings!$K$37:$P$37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67-4925-9436-D2CCA26AD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0064903"/>
        <c:axId val="1530067975"/>
      </c:lineChart>
      <c:catAx>
        <c:axId val="1530064903"/>
        <c:scaling>
          <c:orientation val="minMax"/>
        </c:scaling>
        <c:delete val="0"/>
        <c:axPos val="t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067975"/>
        <c:crosses val="autoZero"/>
        <c:auto val="1"/>
        <c:lblAlgn val="ctr"/>
        <c:lblOffset val="100"/>
        <c:noMultiLvlLbl val="0"/>
      </c:catAx>
      <c:valAx>
        <c:axId val="153006797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06490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Model Ranking 3: Qwen3.5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Rankings!$J$26</c:f>
              <c:strCache>
                <c:ptCount val="1"/>
                <c:pt idx="0">
                  <c:v>Gemma4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Rankings!$K$26:$P$26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A4-4E3C-9D4E-81CF7F7ACCB7}"/>
            </c:ext>
          </c:extLst>
        </c:ser>
        <c:ser>
          <c:idx val="1"/>
          <c:order val="1"/>
          <c:tx>
            <c:strRef>
              <c:f>Rankings!$J$27</c:f>
              <c:strCache>
                <c:ptCount val="1"/>
                <c:pt idx="0">
                  <c:v>Llama3.1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Rankings!$K$27:$P$27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A4-4E3C-9D4E-81CF7F7ACCB7}"/>
            </c:ext>
          </c:extLst>
        </c:ser>
        <c:ser>
          <c:idx val="2"/>
          <c:order val="2"/>
          <c:tx>
            <c:strRef>
              <c:f>Rankings!$J$28</c:f>
              <c:strCache>
                <c:ptCount val="1"/>
                <c:pt idx="0">
                  <c:v>Qwen3.5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Rankings!$K$28:$P$28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A4-4E3C-9D4E-81CF7F7ACCB7}"/>
            </c:ext>
          </c:extLst>
        </c:ser>
        <c:ser>
          <c:idx val="3"/>
          <c:order val="3"/>
          <c:tx>
            <c:strRef>
              <c:f>Rankings!$J$29</c:f>
              <c:strCache>
                <c:ptCount val="1"/>
                <c:pt idx="0">
                  <c:v>Ministral-3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Rankings!$K$29:$P$29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A4-4E3C-9D4E-81CF7F7AC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3159"/>
        <c:axId val="12317191"/>
      </c:lineChart>
      <c:catAx>
        <c:axId val="12273159"/>
        <c:scaling>
          <c:orientation val="minMax"/>
        </c:scaling>
        <c:delete val="0"/>
        <c:axPos val="t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7191"/>
        <c:crosses val="autoZero"/>
        <c:auto val="1"/>
        <c:lblAlgn val="ctr"/>
        <c:lblOffset val="100"/>
        <c:noMultiLvlLbl val="0"/>
      </c:catAx>
      <c:valAx>
        <c:axId val="123171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3159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Model Ranking 2: Llama3.1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Rankings!$J$18</c:f>
              <c:strCache>
                <c:ptCount val="1"/>
                <c:pt idx="0">
                  <c:v>Gemma4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Rankings!$K$18:$P$18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59-4133-A435-4A691B34D94D}"/>
            </c:ext>
          </c:extLst>
        </c:ser>
        <c:ser>
          <c:idx val="1"/>
          <c:order val="1"/>
          <c:tx>
            <c:strRef>
              <c:f>Rankings!$J$19</c:f>
              <c:strCache>
                <c:ptCount val="1"/>
                <c:pt idx="0">
                  <c:v>Llama3.1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Rankings!$K$19:$P$19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59-4133-A435-4A691B34D94D}"/>
            </c:ext>
          </c:extLst>
        </c:ser>
        <c:ser>
          <c:idx val="2"/>
          <c:order val="2"/>
          <c:tx>
            <c:strRef>
              <c:f>Rankings!$J$20</c:f>
              <c:strCache>
                <c:ptCount val="1"/>
                <c:pt idx="0">
                  <c:v>Qwen3.5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Rankings!$K$20:$P$20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59-4133-A435-4A691B34D94D}"/>
            </c:ext>
          </c:extLst>
        </c:ser>
        <c:ser>
          <c:idx val="3"/>
          <c:order val="3"/>
          <c:tx>
            <c:strRef>
              <c:f>Rankings!$J$21</c:f>
              <c:strCache>
                <c:ptCount val="1"/>
                <c:pt idx="0">
                  <c:v>Ministral-3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Rankings!$K$21:$P$21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59-4133-A435-4A691B34D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674055"/>
        <c:axId val="236685319"/>
      </c:lineChart>
      <c:catAx>
        <c:axId val="236674055"/>
        <c:scaling>
          <c:orientation val="minMax"/>
        </c:scaling>
        <c:delete val="0"/>
        <c:axPos val="t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685319"/>
        <c:crosses val="autoZero"/>
        <c:auto val="1"/>
        <c:lblAlgn val="ctr"/>
        <c:lblOffset val="100"/>
        <c:noMultiLvlLbl val="0"/>
      </c:catAx>
      <c:valAx>
        <c:axId val="23668531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674055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Model Ranking 1: Gemma4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Rankings!$J$10</c:f>
              <c:strCache>
                <c:ptCount val="1"/>
                <c:pt idx="0">
                  <c:v>Gemma4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Rankings!$K$10:$P$10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B-4AD5-83B2-6F5B1E3DA0DE}"/>
            </c:ext>
          </c:extLst>
        </c:ser>
        <c:ser>
          <c:idx val="1"/>
          <c:order val="1"/>
          <c:tx>
            <c:strRef>
              <c:f>Rankings!$J$11</c:f>
              <c:strCache>
                <c:ptCount val="1"/>
                <c:pt idx="0">
                  <c:v>Llama3.1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Rankings!$K$11:$P$11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CB-4AD5-83B2-6F5B1E3DA0DE}"/>
            </c:ext>
          </c:extLst>
        </c:ser>
        <c:ser>
          <c:idx val="2"/>
          <c:order val="2"/>
          <c:tx>
            <c:strRef>
              <c:f>Rankings!$J$12</c:f>
              <c:strCache>
                <c:ptCount val="1"/>
                <c:pt idx="0">
                  <c:v>Qwen3.5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Rankings!$K$12:$P$12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CB-4AD5-83B2-6F5B1E3DA0DE}"/>
            </c:ext>
          </c:extLst>
        </c:ser>
        <c:ser>
          <c:idx val="3"/>
          <c:order val="3"/>
          <c:tx>
            <c:strRef>
              <c:f>Rankings!$J$13</c:f>
              <c:strCache>
                <c:ptCount val="1"/>
                <c:pt idx="0">
                  <c:v>Ministral-3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Rankings!$K$13:$P$13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CB-4AD5-83B2-6F5B1E3DA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252935"/>
        <c:axId val="1512259591"/>
      </c:lineChart>
      <c:catAx>
        <c:axId val="1512252935"/>
        <c:scaling>
          <c:orientation val="minMax"/>
        </c:scaling>
        <c:delete val="0"/>
        <c:axPos val="t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259591"/>
        <c:crosses val="autoZero"/>
        <c:auto val="1"/>
        <c:lblAlgn val="ctr"/>
        <c:lblOffset val="100"/>
        <c:noMultiLvlLbl val="0"/>
      </c:catAx>
      <c:valAx>
        <c:axId val="15122595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252935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Human Ranking 1: Collin Lambert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Rankings!$AC$10</c:f>
              <c:strCache>
                <c:ptCount val="1"/>
                <c:pt idx="0">
                  <c:v>Gemma4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Rankings!$AD$10:$AI$10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EA-4020-89F2-FE7FE6EE9918}"/>
            </c:ext>
          </c:extLst>
        </c:ser>
        <c:ser>
          <c:idx val="1"/>
          <c:order val="1"/>
          <c:tx>
            <c:strRef>
              <c:f>Rankings!$AC$11</c:f>
              <c:strCache>
                <c:ptCount val="1"/>
                <c:pt idx="0">
                  <c:v>Llama3.1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Rankings!$AD$11:$AI$11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EA-4020-89F2-FE7FE6EE9918}"/>
            </c:ext>
          </c:extLst>
        </c:ser>
        <c:ser>
          <c:idx val="2"/>
          <c:order val="2"/>
          <c:tx>
            <c:strRef>
              <c:f>Rankings!$AC$12</c:f>
              <c:strCache>
                <c:ptCount val="1"/>
                <c:pt idx="0">
                  <c:v>Qwen3.5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Rankings!$AD$12:$AI$12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EA-4020-89F2-FE7FE6EE9918}"/>
            </c:ext>
          </c:extLst>
        </c:ser>
        <c:ser>
          <c:idx val="3"/>
          <c:order val="3"/>
          <c:tx>
            <c:strRef>
              <c:f>Rankings!$AC$13</c:f>
              <c:strCache>
                <c:ptCount val="1"/>
                <c:pt idx="0">
                  <c:v>Ministral-3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Rankings!$AD$13:$AI$13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EA-4020-89F2-FE7FE6EE9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5812871"/>
        <c:axId val="1489929223"/>
      </c:lineChart>
      <c:catAx>
        <c:axId val="1315812871"/>
        <c:scaling>
          <c:orientation val="minMax"/>
        </c:scaling>
        <c:delete val="0"/>
        <c:axPos val="t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929223"/>
        <c:crosses val="autoZero"/>
        <c:auto val="1"/>
        <c:lblAlgn val="ctr"/>
        <c:lblOffset val="100"/>
        <c:noMultiLvlLbl val="0"/>
      </c:catAx>
      <c:valAx>
        <c:axId val="148992922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812871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Human Ranking 2: Parker Allred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Rankings!$AC$18</c:f>
              <c:strCache>
                <c:ptCount val="1"/>
                <c:pt idx="0">
                  <c:v>Gemma4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Rankings!$AD$18:$AI$18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C-4406-A18E-F2943BCB2DE4}"/>
            </c:ext>
          </c:extLst>
        </c:ser>
        <c:ser>
          <c:idx val="1"/>
          <c:order val="1"/>
          <c:tx>
            <c:strRef>
              <c:f>Rankings!$AC$19</c:f>
              <c:strCache>
                <c:ptCount val="1"/>
                <c:pt idx="0">
                  <c:v>Llama3.1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Rankings!$AD$19:$AI$19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EC-4406-A18E-F2943BCB2DE4}"/>
            </c:ext>
          </c:extLst>
        </c:ser>
        <c:ser>
          <c:idx val="2"/>
          <c:order val="2"/>
          <c:tx>
            <c:strRef>
              <c:f>Rankings!$AC$20</c:f>
              <c:strCache>
                <c:ptCount val="1"/>
                <c:pt idx="0">
                  <c:v>Qwen3.5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Rankings!$AD$20:$AI$20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EC-4406-A18E-F2943BCB2DE4}"/>
            </c:ext>
          </c:extLst>
        </c:ser>
        <c:ser>
          <c:idx val="3"/>
          <c:order val="3"/>
          <c:tx>
            <c:strRef>
              <c:f>Rankings!$AC$21</c:f>
              <c:strCache>
                <c:ptCount val="1"/>
                <c:pt idx="0">
                  <c:v>Ministral-3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Rankings!$AD$21:$AI$21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EC-4406-A18E-F2943BCB2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5137671"/>
        <c:axId val="1425139719"/>
      </c:lineChart>
      <c:catAx>
        <c:axId val="1425137671"/>
        <c:scaling>
          <c:orientation val="minMax"/>
        </c:scaling>
        <c:delete val="0"/>
        <c:axPos val="t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39719"/>
        <c:crosses val="autoZero"/>
        <c:auto val="1"/>
        <c:lblAlgn val="ctr"/>
        <c:lblOffset val="100"/>
        <c:noMultiLvlLbl val="0"/>
      </c:catAx>
      <c:valAx>
        <c:axId val="142513971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37671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Human Ranking 3: Ziyuan Guo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Rankings!$AC$26</c:f>
              <c:strCache>
                <c:ptCount val="1"/>
                <c:pt idx="0">
                  <c:v>Gemma4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Rankings!$AD$26:$AI$26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F-4280-AF2B-DDB539BBF9D0}"/>
            </c:ext>
          </c:extLst>
        </c:ser>
        <c:ser>
          <c:idx val="1"/>
          <c:order val="1"/>
          <c:tx>
            <c:strRef>
              <c:f>Rankings!$AC$27</c:f>
              <c:strCache>
                <c:ptCount val="1"/>
                <c:pt idx="0">
                  <c:v>Llama3.1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Rankings!$AD$27:$AI$27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AF-4280-AF2B-DDB539BBF9D0}"/>
            </c:ext>
          </c:extLst>
        </c:ser>
        <c:ser>
          <c:idx val="2"/>
          <c:order val="2"/>
          <c:tx>
            <c:strRef>
              <c:f>Rankings!$AC$28</c:f>
              <c:strCache>
                <c:ptCount val="1"/>
                <c:pt idx="0">
                  <c:v>Qwen3.5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Rankings!$AD$28:$AI$28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AF-4280-AF2B-DDB539BBF9D0}"/>
            </c:ext>
          </c:extLst>
        </c:ser>
        <c:ser>
          <c:idx val="3"/>
          <c:order val="3"/>
          <c:tx>
            <c:strRef>
              <c:f>Rankings!$AC$29</c:f>
              <c:strCache>
                <c:ptCount val="1"/>
                <c:pt idx="0">
                  <c:v>Ministral-3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Rankings!$AD$29:$AI$29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AF-4280-AF2B-DDB539BBF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189703"/>
        <c:axId val="1812191751"/>
      </c:lineChart>
      <c:catAx>
        <c:axId val="1812189703"/>
        <c:scaling>
          <c:orientation val="minMax"/>
        </c:scaling>
        <c:delete val="0"/>
        <c:axPos val="t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191751"/>
        <c:crosses val="autoZero"/>
        <c:auto val="1"/>
        <c:lblAlgn val="ctr"/>
        <c:lblOffset val="100"/>
        <c:noMultiLvlLbl val="0"/>
      </c:catAx>
      <c:valAx>
        <c:axId val="181219175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189703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Rankings!$AN$10</c:f>
              <c:strCache>
                <c:ptCount val="1"/>
                <c:pt idx="0">
                  <c:v>Gemma4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Rankings!$AO$10:$AV$10</c:f>
              <c:numCache>
                <c:formatCode>General</c:formatCode>
                <c:ptCount val="8"/>
                <c:pt idx="0">
                  <c:v>18</c:v>
                </c:pt>
                <c:pt idx="1">
                  <c:v>11</c:v>
                </c:pt>
                <c:pt idx="2">
                  <c:v>16</c:v>
                </c:pt>
                <c:pt idx="3">
                  <c:v>15</c:v>
                </c:pt>
                <c:pt idx="4">
                  <c:v>17</c:v>
                </c:pt>
                <c:pt idx="5">
                  <c:v>17</c:v>
                </c:pt>
                <c:pt idx="6">
                  <c:v>18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A-42CF-9861-C887F46FE49C}"/>
            </c:ext>
          </c:extLst>
        </c:ser>
        <c:ser>
          <c:idx val="1"/>
          <c:order val="1"/>
          <c:tx>
            <c:strRef>
              <c:f>Rankings!$AN$11</c:f>
              <c:strCache>
                <c:ptCount val="1"/>
                <c:pt idx="0">
                  <c:v>Llama3.1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Rankings!$AO$11:$AV$11</c:f>
              <c:numCache>
                <c:formatCode>General</c:formatCode>
                <c:ptCount val="8"/>
                <c:pt idx="0">
                  <c:v>6</c:v>
                </c:pt>
                <c:pt idx="1">
                  <c:v>20</c:v>
                </c:pt>
                <c:pt idx="2">
                  <c:v>6</c:v>
                </c:pt>
                <c:pt idx="3">
                  <c:v>7</c:v>
                </c:pt>
                <c:pt idx="4">
                  <c:v>6</c:v>
                </c:pt>
                <c:pt idx="5">
                  <c:v>12</c:v>
                </c:pt>
                <c:pt idx="6">
                  <c:v>12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3A-42CF-9861-C887F46FE49C}"/>
            </c:ext>
          </c:extLst>
        </c:ser>
        <c:ser>
          <c:idx val="2"/>
          <c:order val="2"/>
          <c:tx>
            <c:strRef>
              <c:f>Rankings!$AN$12</c:f>
              <c:strCache>
                <c:ptCount val="1"/>
                <c:pt idx="0">
                  <c:v>Qwen3.5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Rankings!$AO$12:$AV$12</c:f>
              <c:numCache>
                <c:formatCode>General</c:formatCode>
                <c:ptCount val="8"/>
                <c:pt idx="0">
                  <c:v>14</c:v>
                </c:pt>
                <c:pt idx="1">
                  <c:v>17</c:v>
                </c:pt>
                <c:pt idx="2">
                  <c:v>17</c:v>
                </c:pt>
                <c:pt idx="3">
                  <c:v>18</c:v>
                </c:pt>
                <c:pt idx="4">
                  <c:v>16</c:v>
                </c:pt>
                <c:pt idx="5">
                  <c:v>15</c:v>
                </c:pt>
                <c:pt idx="6">
                  <c:v>12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3A-42CF-9861-C887F46FE49C}"/>
            </c:ext>
          </c:extLst>
        </c:ser>
        <c:ser>
          <c:idx val="3"/>
          <c:order val="3"/>
          <c:tx>
            <c:strRef>
              <c:f>Rankings!$AN$13</c:f>
              <c:strCache>
                <c:ptCount val="1"/>
                <c:pt idx="0">
                  <c:v>Ministral-3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Rankings!$AO$13:$AV$13</c:f>
              <c:numCache>
                <c:formatCode>General</c:formatCode>
                <c:ptCount val="8"/>
                <c:pt idx="0">
                  <c:v>22</c:v>
                </c:pt>
                <c:pt idx="1">
                  <c:v>12</c:v>
                </c:pt>
                <c:pt idx="2">
                  <c:v>21</c:v>
                </c:pt>
                <c:pt idx="3">
                  <c:v>20</c:v>
                </c:pt>
                <c:pt idx="4">
                  <c:v>21</c:v>
                </c:pt>
                <c:pt idx="5">
                  <c:v>16</c:v>
                </c:pt>
                <c:pt idx="6">
                  <c:v>18</c:v>
                </c:pt>
                <c:pt idx="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3A-42CF-9861-C887F46FE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04967"/>
        <c:axId val="203307015"/>
      </c:radarChart>
      <c:catAx>
        <c:axId val="203304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07015"/>
        <c:crosses val="autoZero"/>
        <c:auto val="1"/>
        <c:lblAlgn val="ctr"/>
        <c:lblOffset val="100"/>
        <c:noMultiLvlLbl val="0"/>
      </c:catAx>
      <c:valAx>
        <c:axId val="203307015"/>
        <c:scaling>
          <c:orientation val="minMax"/>
          <c:max val="24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04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Models Points Per Ranking - Combined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Rankings!$AN$10</c:f>
              <c:strCache>
                <c:ptCount val="1"/>
                <c:pt idx="0">
                  <c:v>Gemma4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Rankings!$AO$9:$AV$9</c:f>
              <c:strCache>
                <c:ptCount val="8"/>
                <c:pt idx="0">
                  <c:v>Gemma4</c:v>
                </c:pt>
                <c:pt idx="1">
                  <c:v>Llama3.1</c:v>
                </c:pt>
                <c:pt idx="2">
                  <c:v>Qwen3.5</c:v>
                </c:pt>
                <c:pt idx="3">
                  <c:v>Ministral-3</c:v>
                </c:pt>
                <c:pt idx="4">
                  <c:v>Claude</c:v>
                </c:pt>
                <c:pt idx="5">
                  <c:v>Human 1</c:v>
                </c:pt>
                <c:pt idx="6">
                  <c:v>Human 2</c:v>
                </c:pt>
                <c:pt idx="7">
                  <c:v>Human 3</c:v>
                </c:pt>
              </c:strCache>
            </c:strRef>
          </c:cat>
          <c:val>
            <c:numRef>
              <c:f>Rankings!$AO$10:$AV$10</c:f>
              <c:numCache>
                <c:formatCode>General</c:formatCode>
                <c:ptCount val="8"/>
                <c:pt idx="0">
                  <c:v>18</c:v>
                </c:pt>
                <c:pt idx="1">
                  <c:v>11</c:v>
                </c:pt>
                <c:pt idx="2">
                  <c:v>16</c:v>
                </c:pt>
                <c:pt idx="3">
                  <c:v>15</c:v>
                </c:pt>
                <c:pt idx="4">
                  <c:v>17</c:v>
                </c:pt>
                <c:pt idx="5">
                  <c:v>17</c:v>
                </c:pt>
                <c:pt idx="6">
                  <c:v>18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6-4296-B7EE-EB5AB99E933F}"/>
            </c:ext>
          </c:extLst>
        </c:ser>
        <c:ser>
          <c:idx val="1"/>
          <c:order val="1"/>
          <c:tx>
            <c:strRef>
              <c:f>Rankings!$AN$11</c:f>
              <c:strCache>
                <c:ptCount val="1"/>
                <c:pt idx="0">
                  <c:v>Llama3.1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Rankings!$AO$9:$AV$9</c:f>
              <c:strCache>
                <c:ptCount val="8"/>
                <c:pt idx="0">
                  <c:v>Gemma4</c:v>
                </c:pt>
                <c:pt idx="1">
                  <c:v>Llama3.1</c:v>
                </c:pt>
                <c:pt idx="2">
                  <c:v>Qwen3.5</c:v>
                </c:pt>
                <c:pt idx="3">
                  <c:v>Ministral-3</c:v>
                </c:pt>
                <c:pt idx="4">
                  <c:v>Claude</c:v>
                </c:pt>
                <c:pt idx="5">
                  <c:v>Human 1</c:v>
                </c:pt>
                <c:pt idx="6">
                  <c:v>Human 2</c:v>
                </c:pt>
                <c:pt idx="7">
                  <c:v>Human 3</c:v>
                </c:pt>
              </c:strCache>
            </c:strRef>
          </c:cat>
          <c:val>
            <c:numRef>
              <c:f>Rankings!$AO$11:$AV$11</c:f>
              <c:numCache>
                <c:formatCode>General</c:formatCode>
                <c:ptCount val="8"/>
                <c:pt idx="0">
                  <c:v>6</c:v>
                </c:pt>
                <c:pt idx="1">
                  <c:v>20</c:v>
                </c:pt>
                <c:pt idx="2">
                  <c:v>6</c:v>
                </c:pt>
                <c:pt idx="3">
                  <c:v>7</c:v>
                </c:pt>
                <c:pt idx="4">
                  <c:v>6</c:v>
                </c:pt>
                <c:pt idx="5">
                  <c:v>12</c:v>
                </c:pt>
                <c:pt idx="6">
                  <c:v>12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76-4296-B7EE-EB5AB99E933F}"/>
            </c:ext>
          </c:extLst>
        </c:ser>
        <c:ser>
          <c:idx val="2"/>
          <c:order val="2"/>
          <c:tx>
            <c:strRef>
              <c:f>Rankings!$AN$12</c:f>
              <c:strCache>
                <c:ptCount val="1"/>
                <c:pt idx="0">
                  <c:v>Qwen3.5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Rankings!$AO$9:$AV$9</c:f>
              <c:strCache>
                <c:ptCount val="8"/>
                <c:pt idx="0">
                  <c:v>Gemma4</c:v>
                </c:pt>
                <c:pt idx="1">
                  <c:v>Llama3.1</c:v>
                </c:pt>
                <c:pt idx="2">
                  <c:v>Qwen3.5</c:v>
                </c:pt>
                <c:pt idx="3">
                  <c:v>Ministral-3</c:v>
                </c:pt>
                <c:pt idx="4">
                  <c:v>Claude</c:v>
                </c:pt>
                <c:pt idx="5">
                  <c:v>Human 1</c:v>
                </c:pt>
                <c:pt idx="6">
                  <c:v>Human 2</c:v>
                </c:pt>
                <c:pt idx="7">
                  <c:v>Human 3</c:v>
                </c:pt>
              </c:strCache>
            </c:strRef>
          </c:cat>
          <c:val>
            <c:numRef>
              <c:f>Rankings!$AO$12:$AV$12</c:f>
              <c:numCache>
                <c:formatCode>General</c:formatCode>
                <c:ptCount val="8"/>
                <c:pt idx="0">
                  <c:v>14</c:v>
                </c:pt>
                <c:pt idx="1">
                  <c:v>17</c:v>
                </c:pt>
                <c:pt idx="2">
                  <c:v>17</c:v>
                </c:pt>
                <c:pt idx="3">
                  <c:v>18</c:v>
                </c:pt>
                <c:pt idx="4">
                  <c:v>16</c:v>
                </c:pt>
                <c:pt idx="5">
                  <c:v>15</c:v>
                </c:pt>
                <c:pt idx="6">
                  <c:v>12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76-4296-B7EE-EB5AB99E933F}"/>
            </c:ext>
          </c:extLst>
        </c:ser>
        <c:ser>
          <c:idx val="3"/>
          <c:order val="3"/>
          <c:tx>
            <c:strRef>
              <c:f>Rankings!$AN$13</c:f>
              <c:strCache>
                <c:ptCount val="1"/>
                <c:pt idx="0">
                  <c:v>Ministral-3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Rankings!$AO$9:$AV$9</c:f>
              <c:strCache>
                <c:ptCount val="8"/>
                <c:pt idx="0">
                  <c:v>Gemma4</c:v>
                </c:pt>
                <c:pt idx="1">
                  <c:v>Llama3.1</c:v>
                </c:pt>
                <c:pt idx="2">
                  <c:v>Qwen3.5</c:v>
                </c:pt>
                <c:pt idx="3">
                  <c:v>Ministral-3</c:v>
                </c:pt>
                <c:pt idx="4">
                  <c:v>Claude</c:v>
                </c:pt>
                <c:pt idx="5">
                  <c:v>Human 1</c:v>
                </c:pt>
                <c:pt idx="6">
                  <c:v>Human 2</c:v>
                </c:pt>
                <c:pt idx="7">
                  <c:v>Human 3</c:v>
                </c:pt>
              </c:strCache>
            </c:strRef>
          </c:cat>
          <c:val>
            <c:numRef>
              <c:f>Rankings!$AO$13:$AV$13</c:f>
              <c:numCache>
                <c:formatCode>General</c:formatCode>
                <c:ptCount val="8"/>
                <c:pt idx="0">
                  <c:v>22</c:v>
                </c:pt>
                <c:pt idx="1">
                  <c:v>12</c:v>
                </c:pt>
                <c:pt idx="2">
                  <c:v>21</c:v>
                </c:pt>
                <c:pt idx="3">
                  <c:v>20</c:v>
                </c:pt>
                <c:pt idx="4">
                  <c:v>21</c:v>
                </c:pt>
                <c:pt idx="5">
                  <c:v>16</c:v>
                </c:pt>
                <c:pt idx="6">
                  <c:v>18</c:v>
                </c:pt>
                <c:pt idx="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76-4296-B7EE-EB5AB99E9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0455"/>
        <c:axId val="15723527"/>
      </c:barChart>
      <c:catAx>
        <c:axId val="15720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3527"/>
        <c:crosses val="autoZero"/>
        <c:auto val="1"/>
        <c:lblAlgn val="ctr"/>
        <c:lblOffset val="100"/>
        <c:noMultiLvlLbl val="0"/>
      </c:catAx>
      <c:valAx>
        <c:axId val="15723527"/>
        <c:scaling>
          <c:orientation val="minMax"/>
          <c:max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Points Awarded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0455"/>
        <c:crosses val="autoZero"/>
        <c:crossBetween val="between"/>
        <c:majorUnit val="6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Models Points Per Ranking - 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Rankings!$B$51</c:f>
              <c:strCache>
                <c:ptCount val="1"/>
                <c:pt idx="0">
                  <c:v>Gemma4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Rankings!$C$50:$G$50</c:f>
              <c:strCache>
                <c:ptCount val="5"/>
                <c:pt idx="0">
                  <c:v>Gemma4</c:v>
                </c:pt>
                <c:pt idx="1">
                  <c:v>Llama3.1</c:v>
                </c:pt>
                <c:pt idx="2">
                  <c:v>Qwen3.5</c:v>
                </c:pt>
                <c:pt idx="3">
                  <c:v>Ministral-3</c:v>
                </c:pt>
                <c:pt idx="4">
                  <c:v>Claude</c:v>
                </c:pt>
              </c:strCache>
            </c:strRef>
          </c:cat>
          <c:val>
            <c:numRef>
              <c:f>Rankings!$C$51:$G$51</c:f>
              <c:numCache>
                <c:formatCode>General</c:formatCode>
                <c:ptCount val="5"/>
                <c:pt idx="0">
                  <c:v>18</c:v>
                </c:pt>
                <c:pt idx="1">
                  <c:v>11</c:v>
                </c:pt>
                <c:pt idx="2">
                  <c:v>16</c:v>
                </c:pt>
                <c:pt idx="3">
                  <c:v>15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9-4475-ABA5-74CA51ECA986}"/>
            </c:ext>
          </c:extLst>
        </c:ser>
        <c:ser>
          <c:idx val="1"/>
          <c:order val="1"/>
          <c:tx>
            <c:strRef>
              <c:f>Rankings!$B$52</c:f>
              <c:strCache>
                <c:ptCount val="1"/>
                <c:pt idx="0">
                  <c:v>Llama3.1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Rankings!$C$50:$G$50</c:f>
              <c:strCache>
                <c:ptCount val="5"/>
                <c:pt idx="0">
                  <c:v>Gemma4</c:v>
                </c:pt>
                <c:pt idx="1">
                  <c:v>Llama3.1</c:v>
                </c:pt>
                <c:pt idx="2">
                  <c:v>Qwen3.5</c:v>
                </c:pt>
                <c:pt idx="3">
                  <c:v>Ministral-3</c:v>
                </c:pt>
                <c:pt idx="4">
                  <c:v>Claude</c:v>
                </c:pt>
              </c:strCache>
            </c:strRef>
          </c:cat>
          <c:val>
            <c:numRef>
              <c:f>Rankings!$C$52:$G$52</c:f>
              <c:numCache>
                <c:formatCode>General</c:formatCode>
                <c:ptCount val="5"/>
                <c:pt idx="0">
                  <c:v>6</c:v>
                </c:pt>
                <c:pt idx="1">
                  <c:v>20</c:v>
                </c:pt>
                <c:pt idx="2">
                  <c:v>6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89-4475-ABA5-74CA51ECA986}"/>
            </c:ext>
          </c:extLst>
        </c:ser>
        <c:ser>
          <c:idx val="2"/>
          <c:order val="2"/>
          <c:tx>
            <c:strRef>
              <c:f>Rankings!$B$53</c:f>
              <c:strCache>
                <c:ptCount val="1"/>
                <c:pt idx="0">
                  <c:v>Qwen3.5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Rankings!$C$50:$G$50</c:f>
              <c:strCache>
                <c:ptCount val="5"/>
                <c:pt idx="0">
                  <c:v>Gemma4</c:v>
                </c:pt>
                <c:pt idx="1">
                  <c:v>Llama3.1</c:v>
                </c:pt>
                <c:pt idx="2">
                  <c:v>Qwen3.5</c:v>
                </c:pt>
                <c:pt idx="3">
                  <c:v>Ministral-3</c:v>
                </c:pt>
                <c:pt idx="4">
                  <c:v>Claude</c:v>
                </c:pt>
              </c:strCache>
            </c:strRef>
          </c:cat>
          <c:val>
            <c:numRef>
              <c:f>Rankings!$C$53:$G$53</c:f>
              <c:numCache>
                <c:formatCode>General</c:formatCode>
                <c:ptCount val="5"/>
                <c:pt idx="0">
                  <c:v>14</c:v>
                </c:pt>
                <c:pt idx="1">
                  <c:v>17</c:v>
                </c:pt>
                <c:pt idx="2">
                  <c:v>17</c:v>
                </c:pt>
                <c:pt idx="3">
                  <c:v>18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89-4475-ABA5-74CA51ECA986}"/>
            </c:ext>
          </c:extLst>
        </c:ser>
        <c:ser>
          <c:idx val="3"/>
          <c:order val="3"/>
          <c:tx>
            <c:strRef>
              <c:f>Rankings!$B$54</c:f>
              <c:strCache>
                <c:ptCount val="1"/>
                <c:pt idx="0">
                  <c:v>Ministral-3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Rankings!$C$50:$G$50</c:f>
              <c:strCache>
                <c:ptCount val="5"/>
                <c:pt idx="0">
                  <c:v>Gemma4</c:v>
                </c:pt>
                <c:pt idx="1">
                  <c:v>Llama3.1</c:v>
                </c:pt>
                <c:pt idx="2">
                  <c:v>Qwen3.5</c:v>
                </c:pt>
                <c:pt idx="3">
                  <c:v>Ministral-3</c:v>
                </c:pt>
                <c:pt idx="4">
                  <c:v>Claude</c:v>
                </c:pt>
              </c:strCache>
            </c:strRef>
          </c:cat>
          <c:val>
            <c:numRef>
              <c:f>Rankings!$C$54:$G$54</c:f>
              <c:numCache>
                <c:formatCode>General</c:formatCode>
                <c:ptCount val="5"/>
                <c:pt idx="0">
                  <c:v>22</c:v>
                </c:pt>
                <c:pt idx="1">
                  <c:v>12</c:v>
                </c:pt>
                <c:pt idx="2">
                  <c:v>21</c:v>
                </c:pt>
                <c:pt idx="3">
                  <c:v>20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89-4475-ABA5-74CA51ECA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395143"/>
        <c:axId val="170401799"/>
      </c:barChart>
      <c:catAx>
        <c:axId val="170395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01799"/>
        <c:crosses val="autoZero"/>
        <c:auto val="1"/>
        <c:lblAlgn val="ctr"/>
        <c:lblOffset val="100"/>
        <c:noMultiLvlLbl val="0"/>
      </c:catAx>
      <c:valAx>
        <c:axId val="170401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Points Awarded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5143"/>
        <c:crosses val="autoZero"/>
        <c:crossBetween val="between"/>
        <c:majorUnit val="6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Models Points Per Ranking - Human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Rankings!$U$35</c:f>
              <c:strCache>
                <c:ptCount val="1"/>
                <c:pt idx="0">
                  <c:v>Gemma4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Rankings!$V$34:$X$34</c:f>
              <c:strCache>
                <c:ptCount val="3"/>
                <c:pt idx="0">
                  <c:v>Human 1</c:v>
                </c:pt>
                <c:pt idx="1">
                  <c:v>Human 2</c:v>
                </c:pt>
                <c:pt idx="2">
                  <c:v>Human 3</c:v>
                </c:pt>
              </c:strCache>
            </c:strRef>
          </c:cat>
          <c:val>
            <c:numRef>
              <c:f>Rankings!$V$35:$X$35</c:f>
              <c:numCache>
                <c:formatCode>General</c:formatCode>
                <c:ptCount val="3"/>
                <c:pt idx="0">
                  <c:v>17</c:v>
                </c:pt>
                <c:pt idx="1">
                  <c:v>18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7-42E2-8AEE-5D7F472A2B9C}"/>
            </c:ext>
          </c:extLst>
        </c:ser>
        <c:ser>
          <c:idx val="1"/>
          <c:order val="1"/>
          <c:tx>
            <c:strRef>
              <c:f>Rankings!$U$36</c:f>
              <c:strCache>
                <c:ptCount val="1"/>
                <c:pt idx="0">
                  <c:v>Llama3.1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Rankings!$V$34:$X$34</c:f>
              <c:strCache>
                <c:ptCount val="3"/>
                <c:pt idx="0">
                  <c:v>Human 1</c:v>
                </c:pt>
                <c:pt idx="1">
                  <c:v>Human 2</c:v>
                </c:pt>
                <c:pt idx="2">
                  <c:v>Human 3</c:v>
                </c:pt>
              </c:strCache>
            </c:strRef>
          </c:cat>
          <c:val>
            <c:numRef>
              <c:f>Rankings!$V$36:$X$36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07-42E2-8AEE-5D7F472A2B9C}"/>
            </c:ext>
          </c:extLst>
        </c:ser>
        <c:ser>
          <c:idx val="2"/>
          <c:order val="2"/>
          <c:tx>
            <c:strRef>
              <c:f>Rankings!$U$37</c:f>
              <c:strCache>
                <c:ptCount val="1"/>
                <c:pt idx="0">
                  <c:v>Qwen3.5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Rankings!$V$34:$X$34</c:f>
              <c:strCache>
                <c:ptCount val="3"/>
                <c:pt idx="0">
                  <c:v>Human 1</c:v>
                </c:pt>
                <c:pt idx="1">
                  <c:v>Human 2</c:v>
                </c:pt>
                <c:pt idx="2">
                  <c:v>Human 3</c:v>
                </c:pt>
              </c:strCache>
            </c:strRef>
          </c:cat>
          <c:val>
            <c:numRef>
              <c:f>Rankings!$V$37:$X$37</c:f>
              <c:numCache>
                <c:formatCode>General</c:formatCode>
                <c:ptCount val="3"/>
                <c:pt idx="0">
                  <c:v>15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07-42E2-8AEE-5D7F472A2B9C}"/>
            </c:ext>
          </c:extLst>
        </c:ser>
        <c:ser>
          <c:idx val="3"/>
          <c:order val="3"/>
          <c:tx>
            <c:strRef>
              <c:f>Rankings!$U$38</c:f>
              <c:strCache>
                <c:ptCount val="1"/>
                <c:pt idx="0">
                  <c:v>Ministral-3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Rankings!$V$34:$X$34</c:f>
              <c:strCache>
                <c:ptCount val="3"/>
                <c:pt idx="0">
                  <c:v>Human 1</c:v>
                </c:pt>
                <c:pt idx="1">
                  <c:v>Human 2</c:v>
                </c:pt>
                <c:pt idx="2">
                  <c:v>Human 3</c:v>
                </c:pt>
              </c:strCache>
            </c:strRef>
          </c:cat>
          <c:val>
            <c:numRef>
              <c:f>Rankings!$V$38:$X$38</c:f>
              <c:numCache>
                <c:formatCode>General</c:formatCode>
                <c:ptCount val="3"/>
                <c:pt idx="0">
                  <c:v>16</c:v>
                </c:pt>
                <c:pt idx="1">
                  <c:v>18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07-42E2-8AEE-5D7F472A2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6087"/>
        <c:axId val="15728135"/>
      </c:barChart>
      <c:catAx>
        <c:axId val="15726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8135"/>
        <c:crosses val="autoZero"/>
        <c:auto val="1"/>
        <c:lblAlgn val="ctr"/>
        <c:lblOffset val="100"/>
        <c:noMultiLvlLbl val="0"/>
      </c:catAx>
      <c:valAx>
        <c:axId val="15728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Points Awarded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6087"/>
        <c:crosses val="autoZero"/>
        <c:crossBetween val="between"/>
        <c:majorUnit val="6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Models Points Per Ranking - 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Rankings!$B$51</c:f>
              <c:strCache>
                <c:ptCount val="1"/>
                <c:pt idx="0">
                  <c:v>Gemma4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Rankings!$C$50:$G$50</c:f>
              <c:strCache>
                <c:ptCount val="5"/>
                <c:pt idx="0">
                  <c:v>Gemma4</c:v>
                </c:pt>
                <c:pt idx="1">
                  <c:v>Llama3.1</c:v>
                </c:pt>
                <c:pt idx="2">
                  <c:v>Qwen3.5</c:v>
                </c:pt>
                <c:pt idx="3">
                  <c:v>Ministral-3</c:v>
                </c:pt>
                <c:pt idx="4">
                  <c:v>Claude</c:v>
                </c:pt>
              </c:strCache>
            </c:strRef>
          </c:cat>
          <c:val>
            <c:numRef>
              <c:f>Rankings!$C$51:$G$51</c:f>
              <c:numCache>
                <c:formatCode>General</c:formatCode>
                <c:ptCount val="5"/>
                <c:pt idx="0">
                  <c:v>18</c:v>
                </c:pt>
                <c:pt idx="1">
                  <c:v>11</c:v>
                </c:pt>
                <c:pt idx="2">
                  <c:v>16</c:v>
                </c:pt>
                <c:pt idx="3">
                  <c:v>15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0-4A12-9E7E-FBC521F415C2}"/>
            </c:ext>
          </c:extLst>
        </c:ser>
        <c:ser>
          <c:idx val="1"/>
          <c:order val="1"/>
          <c:tx>
            <c:strRef>
              <c:f>Rankings!$B$52</c:f>
              <c:strCache>
                <c:ptCount val="1"/>
                <c:pt idx="0">
                  <c:v>Llama3.1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Rankings!$C$50:$G$50</c:f>
              <c:strCache>
                <c:ptCount val="5"/>
                <c:pt idx="0">
                  <c:v>Gemma4</c:v>
                </c:pt>
                <c:pt idx="1">
                  <c:v>Llama3.1</c:v>
                </c:pt>
                <c:pt idx="2">
                  <c:v>Qwen3.5</c:v>
                </c:pt>
                <c:pt idx="3">
                  <c:v>Ministral-3</c:v>
                </c:pt>
                <c:pt idx="4">
                  <c:v>Claude</c:v>
                </c:pt>
              </c:strCache>
            </c:strRef>
          </c:cat>
          <c:val>
            <c:numRef>
              <c:f>Rankings!$C$52:$G$52</c:f>
              <c:numCache>
                <c:formatCode>General</c:formatCode>
                <c:ptCount val="5"/>
                <c:pt idx="0">
                  <c:v>6</c:v>
                </c:pt>
                <c:pt idx="1">
                  <c:v>20</c:v>
                </c:pt>
                <c:pt idx="2">
                  <c:v>6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60-4A12-9E7E-FBC521F415C2}"/>
            </c:ext>
          </c:extLst>
        </c:ser>
        <c:ser>
          <c:idx val="2"/>
          <c:order val="2"/>
          <c:tx>
            <c:strRef>
              <c:f>Rankings!$B$53</c:f>
              <c:strCache>
                <c:ptCount val="1"/>
                <c:pt idx="0">
                  <c:v>Qwen3.5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Rankings!$C$50:$G$50</c:f>
              <c:strCache>
                <c:ptCount val="5"/>
                <c:pt idx="0">
                  <c:v>Gemma4</c:v>
                </c:pt>
                <c:pt idx="1">
                  <c:v>Llama3.1</c:v>
                </c:pt>
                <c:pt idx="2">
                  <c:v>Qwen3.5</c:v>
                </c:pt>
                <c:pt idx="3">
                  <c:v>Ministral-3</c:v>
                </c:pt>
                <c:pt idx="4">
                  <c:v>Claude</c:v>
                </c:pt>
              </c:strCache>
            </c:strRef>
          </c:cat>
          <c:val>
            <c:numRef>
              <c:f>Rankings!$C$53:$G$53</c:f>
              <c:numCache>
                <c:formatCode>General</c:formatCode>
                <c:ptCount val="5"/>
                <c:pt idx="0">
                  <c:v>14</c:v>
                </c:pt>
                <c:pt idx="1">
                  <c:v>17</c:v>
                </c:pt>
                <c:pt idx="2">
                  <c:v>17</c:v>
                </c:pt>
                <c:pt idx="3">
                  <c:v>18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60-4A12-9E7E-FBC521F415C2}"/>
            </c:ext>
          </c:extLst>
        </c:ser>
        <c:ser>
          <c:idx val="3"/>
          <c:order val="3"/>
          <c:tx>
            <c:strRef>
              <c:f>Rankings!$B$54</c:f>
              <c:strCache>
                <c:ptCount val="1"/>
                <c:pt idx="0">
                  <c:v>Ministral-3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Rankings!$C$50:$G$50</c:f>
              <c:strCache>
                <c:ptCount val="5"/>
                <c:pt idx="0">
                  <c:v>Gemma4</c:v>
                </c:pt>
                <c:pt idx="1">
                  <c:v>Llama3.1</c:v>
                </c:pt>
                <c:pt idx="2">
                  <c:v>Qwen3.5</c:v>
                </c:pt>
                <c:pt idx="3">
                  <c:v>Ministral-3</c:v>
                </c:pt>
                <c:pt idx="4">
                  <c:v>Claude</c:v>
                </c:pt>
              </c:strCache>
            </c:strRef>
          </c:cat>
          <c:val>
            <c:numRef>
              <c:f>Rankings!$C$54:$G$54</c:f>
              <c:numCache>
                <c:formatCode>General</c:formatCode>
                <c:ptCount val="5"/>
                <c:pt idx="0">
                  <c:v>22</c:v>
                </c:pt>
                <c:pt idx="1">
                  <c:v>12</c:v>
                </c:pt>
                <c:pt idx="2">
                  <c:v>21</c:v>
                </c:pt>
                <c:pt idx="3">
                  <c:v>20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60-4A12-9E7E-FBC521F41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395143"/>
        <c:axId val="170401799"/>
      </c:barChart>
      <c:catAx>
        <c:axId val="170395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01799"/>
        <c:crosses val="autoZero"/>
        <c:auto val="1"/>
        <c:lblAlgn val="ctr"/>
        <c:lblOffset val="100"/>
        <c:noMultiLvlLbl val="0"/>
      </c:catAx>
      <c:valAx>
        <c:axId val="170401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Points Awarded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5143"/>
        <c:crosses val="autoZero"/>
        <c:crossBetween val="between"/>
        <c:majorUnit val="6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Models Points Per Ranking - Human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Rankings!$U$35</c:f>
              <c:strCache>
                <c:ptCount val="1"/>
                <c:pt idx="0">
                  <c:v>Gemma4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Rankings!$V$34:$X$34</c:f>
              <c:strCache>
                <c:ptCount val="3"/>
                <c:pt idx="0">
                  <c:v>Human 1</c:v>
                </c:pt>
                <c:pt idx="1">
                  <c:v>Human 2</c:v>
                </c:pt>
                <c:pt idx="2">
                  <c:v>Human 3</c:v>
                </c:pt>
              </c:strCache>
            </c:strRef>
          </c:cat>
          <c:val>
            <c:numRef>
              <c:f>Rankings!$V$35:$X$35</c:f>
              <c:numCache>
                <c:formatCode>General</c:formatCode>
                <c:ptCount val="3"/>
                <c:pt idx="0">
                  <c:v>17</c:v>
                </c:pt>
                <c:pt idx="1">
                  <c:v>18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D-4C9C-923F-0DD6921A2919}"/>
            </c:ext>
          </c:extLst>
        </c:ser>
        <c:ser>
          <c:idx val="1"/>
          <c:order val="1"/>
          <c:tx>
            <c:strRef>
              <c:f>Rankings!$U$36</c:f>
              <c:strCache>
                <c:ptCount val="1"/>
                <c:pt idx="0">
                  <c:v>Llama3.1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Rankings!$V$34:$X$34</c:f>
              <c:strCache>
                <c:ptCount val="3"/>
                <c:pt idx="0">
                  <c:v>Human 1</c:v>
                </c:pt>
                <c:pt idx="1">
                  <c:v>Human 2</c:v>
                </c:pt>
                <c:pt idx="2">
                  <c:v>Human 3</c:v>
                </c:pt>
              </c:strCache>
            </c:strRef>
          </c:cat>
          <c:val>
            <c:numRef>
              <c:f>Rankings!$V$36:$X$36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CD-4C9C-923F-0DD6921A2919}"/>
            </c:ext>
          </c:extLst>
        </c:ser>
        <c:ser>
          <c:idx val="2"/>
          <c:order val="2"/>
          <c:tx>
            <c:strRef>
              <c:f>Rankings!$U$37</c:f>
              <c:strCache>
                <c:ptCount val="1"/>
                <c:pt idx="0">
                  <c:v>Qwen3.5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Rankings!$V$34:$X$34</c:f>
              <c:strCache>
                <c:ptCount val="3"/>
                <c:pt idx="0">
                  <c:v>Human 1</c:v>
                </c:pt>
                <c:pt idx="1">
                  <c:v>Human 2</c:v>
                </c:pt>
                <c:pt idx="2">
                  <c:v>Human 3</c:v>
                </c:pt>
              </c:strCache>
            </c:strRef>
          </c:cat>
          <c:val>
            <c:numRef>
              <c:f>Rankings!$V$37:$X$37</c:f>
              <c:numCache>
                <c:formatCode>General</c:formatCode>
                <c:ptCount val="3"/>
                <c:pt idx="0">
                  <c:v>15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CD-4C9C-923F-0DD6921A2919}"/>
            </c:ext>
          </c:extLst>
        </c:ser>
        <c:ser>
          <c:idx val="3"/>
          <c:order val="3"/>
          <c:tx>
            <c:strRef>
              <c:f>Rankings!$U$38</c:f>
              <c:strCache>
                <c:ptCount val="1"/>
                <c:pt idx="0">
                  <c:v>Ministral-3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Rankings!$V$34:$X$34</c:f>
              <c:strCache>
                <c:ptCount val="3"/>
                <c:pt idx="0">
                  <c:v>Human 1</c:v>
                </c:pt>
                <c:pt idx="1">
                  <c:v>Human 2</c:v>
                </c:pt>
                <c:pt idx="2">
                  <c:v>Human 3</c:v>
                </c:pt>
              </c:strCache>
            </c:strRef>
          </c:cat>
          <c:val>
            <c:numRef>
              <c:f>Rankings!$V$38:$X$38</c:f>
              <c:numCache>
                <c:formatCode>General</c:formatCode>
                <c:ptCount val="3"/>
                <c:pt idx="0">
                  <c:v>16</c:v>
                </c:pt>
                <c:pt idx="1">
                  <c:v>18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CD-4C9C-923F-0DD6921A2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6087"/>
        <c:axId val="15728135"/>
      </c:barChart>
      <c:catAx>
        <c:axId val="15726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8135"/>
        <c:crosses val="autoZero"/>
        <c:auto val="1"/>
        <c:lblAlgn val="ctr"/>
        <c:lblOffset val="100"/>
        <c:noMultiLvlLbl val="0"/>
      </c:catAx>
      <c:valAx>
        <c:axId val="15728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Points Awarded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6087"/>
        <c:crosses val="autoZero"/>
        <c:crossBetween val="between"/>
        <c:majorUnit val="6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Models Points Per Ranking - Combined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Rankings!$AN$10</c:f>
              <c:strCache>
                <c:ptCount val="1"/>
                <c:pt idx="0">
                  <c:v>Gemma4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Rankings!$AO$9:$AV$9</c:f>
              <c:strCache>
                <c:ptCount val="8"/>
                <c:pt idx="0">
                  <c:v>Gemma4</c:v>
                </c:pt>
                <c:pt idx="1">
                  <c:v>Llama3.1</c:v>
                </c:pt>
                <c:pt idx="2">
                  <c:v>Qwen3.5</c:v>
                </c:pt>
                <c:pt idx="3">
                  <c:v>Ministral-3</c:v>
                </c:pt>
                <c:pt idx="4">
                  <c:v>Claude</c:v>
                </c:pt>
                <c:pt idx="5">
                  <c:v>Human 1</c:v>
                </c:pt>
                <c:pt idx="6">
                  <c:v>Human 2</c:v>
                </c:pt>
                <c:pt idx="7">
                  <c:v>Human 3</c:v>
                </c:pt>
              </c:strCache>
            </c:strRef>
          </c:cat>
          <c:val>
            <c:numRef>
              <c:f>Rankings!$AO$10:$AV$10</c:f>
              <c:numCache>
                <c:formatCode>General</c:formatCode>
                <c:ptCount val="8"/>
                <c:pt idx="0">
                  <c:v>18</c:v>
                </c:pt>
                <c:pt idx="1">
                  <c:v>11</c:v>
                </c:pt>
                <c:pt idx="2">
                  <c:v>16</c:v>
                </c:pt>
                <c:pt idx="3">
                  <c:v>15</c:v>
                </c:pt>
                <c:pt idx="4">
                  <c:v>17</c:v>
                </c:pt>
                <c:pt idx="5">
                  <c:v>17</c:v>
                </c:pt>
                <c:pt idx="6">
                  <c:v>18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B-4DD0-BD57-A052963D7B55}"/>
            </c:ext>
          </c:extLst>
        </c:ser>
        <c:ser>
          <c:idx val="1"/>
          <c:order val="1"/>
          <c:tx>
            <c:strRef>
              <c:f>Rankings!$AN$11</c:f>
              <c:strCache>
                <c:ptCount val="1"/>
                <c:pt idx="0">
                  <c:v>Llama3.1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Rankings!$AO$9:$AV$9</c:f>
              <c:strCache>
                <c:ptCount val="8"/>
                <c:pt idx="0">
                  <c:v>Gemma4</c:v>
                </c:pt>
                <c:pt idx="1">
                  <c:v>Llama3.1</c:v>
                </c:pt>
                <c:pt idx="2">
                  <c:v>Qwen3.5</c:v>
                </c:pt>
                <c:pt idx="3">
                  <c:v>Ministral-3</c:v>
                </c:pt>
                <c:pt idx="4">
                  <c:v>Claude</c:v>
                </c:pt>
                <c:pt idx="5">
                  <c:v>Human 1</c:v>
                </c:pt>
                <c:pt idx="6">
                  <c:v>Human 2</c:v>
                </c:pt>
                <c:pt idx="7">
                  <c:v>Human 3</c:v>
                </c:pt>
              </c:strCache>
            </c:strRef>
          </c:cat>
          <c:val>
            <c:numRef>
              <c:f>Rankings!$AO$11:$AV$11</c:f>
              <c:numCache>
                <c:formatCode>General</c:formatCode>
                <c:ptCount val="8"/>
                <c:pt idx="0">
                  <c:v>6</c:v>
                </c:pt>
                <c:pt idx="1">
                  <c:v>20</c:v>
                </c:pt>
                <c:pt idx="2">
                  <c:v>6</c:v>
                </c:pt>
                <c:pt idx="3">
                  <c:v>7</c:v>
                </c:pt>
                <c:pt idx="4">
                  <c:v>6</c:v>
                </c:pt>
                <c:pt idx="5">
                  <c:v>12</c:v>
                </c:pt>
                <c:pt idx="6">
                  <c:v>12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9B-4DD0-BD57-A052963D7B55}"/>
            </c:ext>
          </c:extLst>
        </c:ser>
        <c:ser>
          <c:idx val="2"/>
          <c:order val="2"/>
          <c:tx>
            <c:strRef>
              <c:f>Rankings!$AN$12</c:f>
              <c:strCache>
                <c:ptCount val="1"/>
                <c:pt idx="0">
                  <c:v>Qwen3.5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Rankings!$AO$9:$AV$9</c:f>
              <c:strCache>
                <c:ptCount val="8"/>
                <c:pt idx="0">
                  <c:v>Gemma4</c:v>
                </c:pt>
                <c:pt idx="1">
                  <c:v>Llama3.1</c:v>
                </c:pt>
                <c:pt idx="2">
                  <c:v>Qwen3.5</c:v>
                </c:pt>
                <c:pt idx="3">
                  <c:v>Ministral-3</c:v>
                </c:pt>
                <c:pt idx="4">
                  <c:v>Claude</c:v>
                </c:pt>
                <c:pt idx="5">
                  <c:v>Human 1</c:v>
                </c:pt>
                <c:pt idx="6">
                  <c:v>Human 2</c:v>
                </c:pt>
                <c:pt idx="7">
                  <c:v>Human 3</c:v>
                </c:pt>
              </c:strCache>
            </c:strRef>
          </c:cat>
          <c:val>
            <c:numRef>
              <c:f>Rankings!$AO$12:$AV$12</c:f>
              <c:numCache>
                <c:formatCode>General</c:formatCode>
                <c:ptCount val="8"/>
                <c:pt idx="0">
                  <c:v>14</c:v>
                </c:pt>
                <c:pt idx="1">
                  <c:v>17</c:v>
                </c:pt>
                <c:pt idx="2">
                  <c:v>17</c:v>
                </c:pt>
                <c:pt idx="3">
                  <c:v>18</c:v>
                </c:pt>
                <c:pt idx="4">
                  <c:v>16</c:v>
                </c:pt>
                <c:pt idx="5">
                  <c:v>15</c:v>
                </c:pt>
                <c:pt idx="6">
                  <c:v>12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9B-4DD0-BD57-A052963D7B55}"/>
            </c:ext>
          </c:extLst>
        </c:ser>
        <c:ser>
          <c:idx val="3"/>
          <c:order val="3"/>
          <c:tx>
            <c:strRef>
              <c:f>Rankings!$AN$13</c:f>
              <c:strCache>
                <c:ptCount val="1"/>
                <c:pt idx="0">
                  <c:v>Ministral-3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Rankings!$AO$9:$AV$9</c:f>
              <c:strCache>
                <c:ptCount val="8"/>
                <c:pt idx="0">
                  <c:v>Gemma4</c:v>
                </c:pt>
                <c:pt idx="1">
                  <c:v>Llama3.1</c:v>
                </c:pt>
                <c:pt idx="2">
                  <c:v>Qwen3.5</c:v>
                </c:pt>
                <c:pt idx="3">
                  <c:v>Ministral-3</c:v>
                </c:pt>
                <c:pt idx="4">
                  <c:v>Claude</c:v>
                </c:pt>
                <c:pt idx="5">
                  <c:v>Human 1</c:v>
                </c:pt>
                <c:pt idx="6">
                  <c:v>Human 2</c:v>
                </c:pt>
                <c:pt idx="7">
                  <c:v>Human 3</c:v>
                </c:pt>
              </c:strCache>
            </c:strRef>
          </c:cat>
          <c:val>
            <c:numRef>
              <c:f>Rankings!$AO$13:$AV$13</c:f>
              <c:numCache>
                <c:formatCode>General</c:formatCode>
                <c:ptCount val="8"/>
                <c:pt idx="0">
                  <c:v>22</c:v>
                </c:pt>
                <c:pt idx="1">
                  <c:v>12</c:v>
                </c:pt>
                <c:pt idx="2">
                  <c:v>21</c:v>
                </c:pt>
                <c:pt idx="3">
                  <c:v>20</c:v>
                </c:pt>
                <c:pt idx="4">
                  <c:v>21</c:v>
                </c:pt>
                <c:pt idx="5">
                  <c:v>16</c:v>
                </c:pt>
                <c:pt idx="6">
                  <c:v>18</c:v>
                </c:pt>
                <c:pt idx="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9B-4DD0-BD57-A052963D7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0455"/>
        <c:axId val="15723527"/>
      </c:barChart>
      <c:catAx>
        <c:axId val="15720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3527"/>
        <c:crosses val="autoZero"/>
        <c:auto val="1"/>
        <c:lblAlgn val="ctr"/>
        <c:lblOffset val="100"/>
        <c:noMultiLvlLbl val="0"/>
      </c:catAx>
      <c:valAx>
        <c:axId val="15723527"/>
        <c:scaling>
          <c:orientation val="minMax"/>
          <c:max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Points Awarded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0455"/>
        <c:crosses val="autoZero"/>
        <c:crossBetween val="between"/>
        <c:majorUnit val="6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Inference Time vs. Evaluation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{"Gemma4"}</c:f>
              <c:strCache>
                <c:ptCount val="1"/>
                <c:pt idx="0">
                  <c:v>Gemma4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25400">
                <a:solidFill>
                  <a:srgbClr val="4472C4"/>
                </a:solidFill>
                <a:prstDash val="solid"/>
              </a:ln>
              <a:effectLst/>
            </c:spPr>
          </c:marker>
          <c:xVal>
            <c:numRef>
              <c:f>'Time Results'!M8</c:f>
              <c:numCache>
                <c:formatCode>General</c:formatCode>
                <c:ptCount val="1"/>
                <c:pt idx="0">
                  <c:v>1.294</c:v>
                </c:pt>
              </c:numCache>
            </c:numRef>
          </c:xVal>
          <c:yVal>
            <c:numRef>
              <c:f>'Time Results'!N8</c:f>
              <c:numCache>
                <c:formatCode>General</c:formatCode>
                <c:ptCount val="1"/>
                <c:pt idx="0">
                  <c:v>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28F-4078-98EE-D1C965EC3D9E}"/>
            </c:ext>
          </c:extLst>
        </c:ser>
        <c:ser>
          <c:idx val="2"/>
          <c:order val="1"/>
          <c:tx>
            <c:strRef>
              <c:f>{"Llama3.1"}</c:f>
              <c:strCache>
                <c:ptCount val="1"/>
                <c:pt idx="0">
                  <c:v>Llama3.1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25400">
                <a:solidFill>
                  <a:srgbClr val="ED7D31"/>
                </a:solidFill>
                <a:prstDash val="solid"/>
              </a:ln>
              <a:effectLst/>
            </c:spPr>
          </c:marker>
          <c:xVal>
            <c:numRef>
              <c:f>'Time Results'!M9</c:f>
              <c:numCache>
                <c:formatCode>General</c:formatCode>
                <c:ptCount val="1"/>
                <c:pt idx="0">
                  <c:v>0.54710000000000003</c:v>
                </c:pt>
              </c:numCache>
            </c:numRef>
          </c:xVal>
          <c:yVal>
            <c:numRef>
              <c:f>'Time Results'!N9</c:f>
              <c:numCache>
                <c:formatCode>General</c:formatCode>
                <c:ptCount val="1"/>
                <c:pt idx="0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28F-4078-98EE-D1C965EC3D9E}"/>
            </c:ext>
          </c:extLst>
        </c:ser>
        <c:ser>
          <c:idx val="1"/>
          <c:order val="2"/>
          <c:tx>
            <c:strRef>
              <c:f>{"Qwen3.5"}</c:f>
              <c:strCache>
                <c:ptCount val="1"/>
                <c:pt idx="0">
                  <c:v>Qwen3.5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25400">
                <a:solidFill>
                  <a:srgbClr val="92D050"/>
                </a:solidFill>
                <a:prstDash val="solid"/>
              </a:ln>
              <a:effectLst/>
            </c:spPr>
          </c:marker>
          <c:xVal>
            <c:numRef>
              <c:f>'Time Results'!M10</c:f>
              <c:numCache>
                <c:formatCode>General</c:formatCode>
                <c:ptCount val="1"/>
                <c:pt idx="0">
                  <c:v>29.195499999999999</c:v>
                </c:pt>
              </c:numCache>
            </c:numRef>
          </c:xVal>
          <c:yVal>
            <c:numRef>
              <c:f>'Time Results'!N10</c:f>
              <c:numCache>
                <c:formatCode>General</c:formatCode>
                <c:ptCount val="1"/>
                <c:pt idx="0">
                  <c:v>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28F-4078-98EE-D1C965EC3D9E}"/>
            </c:ext>
          </c:extLst>
        </c:ser>
        <c:ser>
          <c:idx val="0"/>
          <c:order val="3"/>
          <c:tx>
            <c:strRef>
              <c:f>{"Ministral-3"}</c:f>
              <c:strCache>
                <c:ptCount val="1"/>
                <c:pt idx="0">
                  <c:v>Ministral-3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25400">
                <a:solidFill>
                  <a:srgbClr val="FFC000"/>
                </a:solidFill>
                <a:prstDash val="solid"/>
              </a:ln>
              <a:effectLst/>
            </c:spPr>
          </c:marker>
          <c:xVal>
            <c:numRef>
              <c:f>'Time Results'!$M$11</c:f>
              <c:numCache>
                <c:formatCode>General</c:formatCode>
                <c:ptCount val="1"/>
                <c:pt idx="0">
                  <c:v>1.2387999999999999</c:v>
                </c:pt>
              </c:numCache>
            </c:numRef>
          </c:xVal>
          <c:yVal>
            <c:numRef>
              <c:f>'Time Results'!$N$11</c:f>
              <c:numCache>
                <c:formatCode>General</c:formatCode>
                <c:ptCount val="1"/>
                <c:pt idx="0">
                  <c:v>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28F-4078-98EE-D1C965EC3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153031"/>
        <c:axId val="489155591"/>
      </c:scatterChart>
      <c:valAx>
        <c:axId val="489153031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to Answer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155591"/>
        <c:crosses val="autoZero"/>
        <c:crossBetween val="midCat"/>
      </c:valAx>
      <c:valAx>
        <c:axId val="489155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Points Awarded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153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67</xdr:row>
      <xdr:rowOff>0</xdr:rowOff>
    </xdr:from>
    <xdr:to>
      <xdr:col>22</xdr:col>
      <xdr:colOff>504825</xdr:colOff>
      <xdr:row>81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3E01C3-2B43-E02D-3A3C-BF60640DC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400050</xdr:colOff>
      <xdr:row>74</xdr:row>
      <xdr:rowOff>104775</xdr:rowOff>
    </xdr:from>
    <xdr:to>
      <xdr:col>15</xdr:col>
      <xdr:colOff>0</xdr:colOff>
      <xdr:row>88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B364D7-885D-2971-110E-870B0B6E5C1B}"/>
            </a:ext>
            <a:ext uri="{147F2762-F138-4A5C-976F-8EAC2B608ADB}">
              <a16:predDERef xmlns:a16="http://schemas.microsoft.com/office/drawing/2014/main" pred="{0A3E01C3-2B43-E02D-3A3C-BF60640DC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74</xdr:row>
      <xdr:rowOff>114300</xdr:rowOff>
    </xdr:from>
    <xdr:to>
      <xdr:col>7</xdr:col>
      <xdr:colOff>400050</xdr:colOff>
      <xdr:row>89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1A03FC8-EAD4-4CD2-E49A-BD25DF9C50BB}"/>
            </a:ext>
            <a:ext uri="{147F2762-F138-4A5C-976F-8EAC2B608ADB}">
              <a16:predDERef xmlns:a16="http://schemas.microsoft.com/office/drawing/2014/main" pred="{2CB364D7-885D-2971-110E-870B0B6E5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400050</xdr:colOff>
      <xdr:row>60</xdr:row>
      <xdr:rowOff>47625</xdr:rowOff>
    </xdr:from>
    <xdr:to>
      <xdr:col>15</xdr:col>
      <xdr:colOff>0</xdr:colOff>
      <xdr:row>74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8F6F5B0-7139-E484-E138-5C47C9D02A3B}"/>
            </a:ext>
            <a:ext uri="{147F2762-F138-4A5C-976F-8EAC2B608ADB}">
              <a16:predDERef xmlns:a16="http://schemas.microsoft.com/office/drawing/2014/main" pred="{D1A03FC8-EAD4-4CD2-E49A-BD25DF9C5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60</xdr:row>
      <xdr:rowOff>38100</xdr:rowOff>
    </xdr:from>
    <xdr:to>
      <xdr:col>7</xdr:col>
      <xdr:colOff>400050</xdr:colOff>
      <xdr:row>74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68063E6-46CC-E6C8-7347-2DF2CC5F765E}"/>
            </a:ext>
            <a:ext uri="{147F2762-F138-4A5C-976F-8EAC2B608ADB}">
              <a16:predDERef xmlns:a16="http://schemas.microsoft.com/office/drawing/2014/main" pred="{78F6F5B0-7139-E484-E138-5C47C9D02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638175</xdr:colOff>
      <xdr:row>44</xdr:row>
      <xdr:rowOff>66675</xdr:rowOff>
    </xdr:from>
    <xdr:to>
      <xdr:col>26</xdr:col>
      <xdr:colOff>152400</xdr:colOff>
      <xdr:row>58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53A86A1-0479-7667-A1B1-1E66B5C5AA6F}"/>
            </a:ext>
            <a:ext uri="{147F2762-F138-4A5C-976F-8EAC2B608ADB}">
              <a16:predDERef xmlns:a16="http://schemas.microsoft.com/office/drawing/2014/main" pred="{F68063E6-46CC-E6C8-7347-2DF2CC5F7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152400</xdr:colOff>
      <xdr:row>44</xdr:row>
      <xdr:rowOff>76200</xdr:rowOff>
    </xdr:from>
    <xdr:to>
      <xdr:col>34</xdr:col>
      <xdr:colOff>0</xdr:colOff>
      <xdr:row>58</xdr:row>
      <xdr:rowOff>152400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2A04722-8BB7-88FD-177D-693BB33CA7F8}"/>
            </a:ext>
            <a:ext uri="{147F2762-F138-4A5C-976F-8EAC2B608ADB}">
              <a16:predDERef xmlns:a16="http://schemas.microsoft.com/office/drawing/2014/main" pred="{08BC0959-C541-01C6-80E4-379CB8791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9525</xdr:colOff>
      <xdr:row>44</xdr:row>
      <xdr:rowOff>76200</xdr:rowOff>
    </xdr:from>
    <xdr:to>
      <xdr:col>42</xdr:col>
      <xdr:colOff>466725</xdr:colOff>
      <xdr:row>58</xdr:row>
      <xdr:rowOff>152400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F0D35E6-A79A-D310-09A7-A011BE20555A}"/>
            </a:ext>
            <a:ext uri="{147F2762-F138-4A5C-976F-8EAC2B608ADB}">
              <a16:predDERef xmlns:a16="http://schemas.microsoft.com/office/drawing/2014/main" pred="{92A04722-8BB7-88FD-177D-693BB33CA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38100</xdr:colOff>
      <xdr:row>28</xdr:row>
      <xdr:rowOff>76200</xdr:rowOff>
    </xdr:from>
    <xdr:to>
      <xdr:col>46</xdr:col>
      <xdr:colOff>819150</xdr:colOff>
      <xdr:row>42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ADFF97-61A3-CDC1-0A0A-92DCF5B7A65F}"/>
            </a:ext>
            <a:ext uri="{147F2762-F138-4A5C-976F-8EAC2B608ADB}">
              <a16:predDERef xmlns:a16="http://schemas.microsoft.com/office/drawing/2014/main" pred="{30DC5E50-3CB3-DFFD-4F4B-BB59ED6F8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41</xdr:col>
      <xdr:colOff>38100</xdr:colOff>
      <xdr:row>14</xdr:row>
      <xdr:rowOff>0</xdr:rowOff>
    </xdr:from>
    <xdr:to>
      <xdr:col>46</xdr:col>
      <xdr:colOff>819150</xdr:colOff>
      <xdr:row>28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3B29F9-C6A8-F5F8-7D3F-2526CDAEEE05}"/>
            </a:ext>
            <a:ext uri="{147F2762-F138-4A5C-976F-8EAC2B608ADB}">
              <a16:predDERef xmlns:a16="http://schemas.microsoft.com/office/drawing/2014/main" pred="{14ADFF97-61A3-CDC1-0A0A-92DCF5B7A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200025</xdr:colOff>
      <xdr:row>45</xdr:row>
      <xdr:rowOff>152400</xdr:rowOff>
    </xdr:from>
    <xdr:to>
      <xdr:col>14</xdr:col>
      <xdr:colOff>409575</xdr:colOff>
      <xdr:row>60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96E259-C7A9-9275-CCFD-284F1ADA5F3D}"/>
            </a:ext>
            <a:ext uri="{147F2762-F138-4A5C-976F-8EAC2B608ADB}">
              <a16:predDERef xmlns:a16="http://schemas.microsoft.com/office/drawing/2014/main" pred="{FF3B29F9-C6A8-F5F8-7D3F-2526CDAEE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161925</xdr:colOff>
      <xdr:row>30</xdr:row>
      <xdr:rowOff>28575</xdr:rowOff>
    </xdr:from>
    <xdr:to>
      <xdr:col>33</xdr:col>
      <xdr:colOff>9525</xdr:colOff>
      <xdr:row>44</xdr:row>
      <xdr:rowOff>104775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FAB1A94-C8BA-66EE-90F6-6736AEEE1B73}"/>
            </a:ext>
            <a:ext uri="{147F2762-F138-4A5C-976F-8EAC2B608ADB}">
              <a16:predDERef xmlns:a16="http://schemas.microsoft.com/office/drawing/2014/main" pred="{3D96E259-C7A9-9275-CCFD-284F1ADA5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44</xdr:col>
      <xdr:colOff>581025</xdr:colOff>
      <xdr:row>59</xdr:row>
      <xdr:rowOff>171450</xdr:rowOff>
    </xdr:from>
    <xdr:to>
      <xdr:col>50</xdr:col>
      <xdr:colOff>419100</xdr:colOff>
      <xdr:row>74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4245C0-9852-4215-A93E-435960511B56}"/>
            </a:ext>
            <a:ext uri="{147F2762-F138-4A5C-976F-8EAC2B608ADB}">
              <a16:predDERef xmlns:a16="http://schemas.microsoft.com/office/drawing/2014/main" pred="{AFAB1A94-C8BA-66EE-90F6-6736AEEE1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44</xdr:col>
      <xdr:colOff>590550</xdr:colOff>
      <xdr:row>74</xdr:row>
      <xdr:rowOff>57150</xdr:rowOff>
    </xdr:from>
    <xdr:to>
      <xdr:col>50</xdr:col>
      <xdr:colOff>428625</xdr:colOff>
      <xdr:row>88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53CADC-B722-4526-B430-4A387F7E2B05}"/>
            </a:ext>
            <a:ext uri="{147F2762-F138-4A5C-976F-8EAC2B608ADB}">
              <a16:predDERef xmlns:a16="http://schemas.microsoft.com/office/drawing/2014/main" pred="{BB4245C0-9852-4215-A93E-435960511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50</xdr:col>
      <xdr:colOff>419100</xdr:colOff>
      <xdr:row>67</xdr:row>
      <xdr:rowOff>0</xdr:rowOff>
    </xdr:from>
    <xdr:to>
      <xdr:col>58</xdr:col>
      <xdr:colOff>114300</xdr:colOff>
      <xdr:row>81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C0A37D-5DF2-4876-A3F8-8F48188D6966}"/>
            </a:ext>
            <a:ext uri="{147F2762-F138-4A5C-976F-8EAC2B608ADB}">
              <a16:predDERef xmlns:a16="http://schemas.microsoft.com/office/drawing/2014/main" pred="{3253CADC-B722-4526-B430-4A387F7E2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142875</xdr:rowOff>
    </xdr:from>
    <xdr:to>
      <xdr:col>16</xdr:col>
      <xdr:colOff>542925</xdr:colOff>
      <xdr:row>15</xdr:row>
      <xdr:rowOff>28575</xdr:rowOff>
    </xdr:to>
    <xdr:graphicFrame macro="">
      <xdr:nvGraphicFramePr>
        <xdr:cNvPr id="7" name="Chart 13">
          <a:extLst>
            <a:ext uri="{FF2B5EF4-FFF2-40B4-BE49-F238E27FC236}">
              <a16:creationId xmlns:a16="http://schemas.microsoft.com/office/drawing/2014/main" id="{1CEBBAA1-B0E3-A8C3-1D88-CC45E5E58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5"/>
  <sheetViews>
    <sheetView tabSelected="1" workbookViewId="0">
      <selection activeCell="BE87" sqref="BE87"/>
    </sheetView>
  </sheetViews>
  <sheetFormatPr defaultRowHeight="15"/>
  <cols>
    <col min="1" max="1" width="4.5703125" customWidth="1"/>
    <col min="2" max="2" width="12.28515625" bestFit="1" customWidth="1"/>
    <col min="9" max="9" width="6.140625" customWidth="1"/>
    <col min="10" max="10" width="13.5703125" bestFit="1" customWidth="1"/>
    <col min="17" max="17" width="11.42578125" bestFit="1" customWidth="1"/>
    <col min="18" max="18" width="3.85546875" customWidth="1"/>
    <col min="19" max="19" width="9.85546875" bestFit="1" customWidth="1"/>
    <col min="20" max="20" width="3.42578125" customWidth="1"/>
    <col min="21" max="23" width="11.7109375" bestFit="1" customWidth="1"/>
    <col min="28" max="28" width="5.28515625" customWidth="1"/>
    <col min="29" max="29" width="10.7109375" bestFit="1" customWidth="1"/>
    <col min="35" max="35" width="10.7109375" bestFit="1" customWidth="1"/>
    <col min="36" max="36" width="11" customWidth="1"/>
    <col min="37" max="37" width="3.42578125" customWidth="1"/>
    <col min="39" max="39" width="3.5703125" customWidth="1"/>
    <col min="40" max="40" width="10.7109375" bestFit="1" customWidth="1"/>
    <col min="41" max="45" width="10.42578125" bestFit="1" customWidth="1"/>
    <col min="46" max="48" width="15.140625" bestFit="1" customWidth="1"/>
    <col min="49" max="49" width="11.42578125" bestFit="1" customWidth="1"/>
    <col min="50" max="50" width="3.7109375" customWidth="1"/>
  </cols>
  <sheetData>
    <row r="1" spans="1:50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M1" s="73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3"/>
    </row>
    <row r="2" spans="1:50" ht="15.75">
      <c r="A2" s="50"/>
      <c r="B2" s="96" t="s">
        <v>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8"/>
      <c r="R2" s="50"/>
      <c r="T2" s="51"/>
      <c r="U2" s="96" t="s">
        <v>1</v>
      </c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8"/>
      <c r="AK2" s="51"/>
      <c r="AM2" s="73"/>
      <c r="AN2" s="128" t="s">
        <v>2</v>
      </c>
      <c r="AO2" s="129"/>
      <c r="AP2" s="129"/>
      <c r="AQ2" s="129"/>
      <c r="AR2" s="129"/>
      <c r="AS2" s="129"/>
      <c r="AT2" s="129"/>
      <c r="AU2" s="129"/>
      <c r="AV2" s="129"/>
      <c r="AW2" s="130"/>
      <c r="AX2" s="73"/>
    </row>
    <row r="3" spans="1:50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M3" s="73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3"/>
    </row>
    <row r="4" spans="1:50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M4" s="33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3"/>
    </row>
    <row r="5" spans="1:50">
      <c r="A5" s="33"/>
      <c r="B5" s="121" t="s">
        <v>3</v>
      </c>
      <c r="C5" s="122"/>
      <c r="D5" s="122"/>
      <c r="E5" s="122"/>
      <c r="F5" s="122"/>
      <c r="G5" s="122"/>
      <c r="H5" s="123"/>
      <c r="I5" s="35"/>
      <c r="J5" s="121" t="s">
        <v>4</v>
      </c>
      <c r="K5" s="122"/>
      <c r="L5" s="122"/>
      <c r="M5" s="122"/>
      <c r="N5" s="122"/>
      <c r="O5" s="122"/>
      <c r="P5" s="122"/>
      <c r="Q5" s="123"/>
      <c r="R5" s="33"/>
      <c r="T5" s="33"/>
      <c r="U5" s="121" t="s">
        <v>3</v>
      </c>
      <c r="V5" s="122"/>
      <c r="W5" s="122"/>
      <c r="X5" s="122"/>
      <c r="Y5" s="122"/>
      <c r="Z5" s="122"/>
      <c r="AA5" s="123"/>
      <c r="AB5" s="35"/>
      <c r="AC5" s="121" t="s">
        <v>4</v>
      </c>
      <c r="AD5" s="122"/>
      <c r="AE5" s="122"/>
      <c r="AF5" s="122"/>
      <c r="AG5" s="122"/>
      <c r="AH5" s="122"/>
      <c r="AI5" s="122"/>
      <c r="AJ5" s="123"/>
      <c r="AK5" s="33"/>
      <c r="AM5" s="33"/>
      <c r="AN5" s="131" t="s">
        <v>5</v>
      </c>
      <c r="AO5" s="132"/>
      <c r="AP5" s="132"/>
      <c r="AQ5" s="132"/>
      <c r="AR5" s="132"/>
      <c r="AS5" s="132"/>
      <c r="AT5" s="132"/>
      <c r="AU5" s="132"/>
      <c r="AV5" s="132"/>
      <c r="AW5" s="133"/>
      <c r="AX5" s="33"/>
    </row>
    <row r="6" spans="1:50">
      <c r="A6" s="33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3"/>
      <c r="T6" s="33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3"/>
      <c r="AM6" s="33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3"/>
    </row>
    <row r="7" spans="1:50">
      <c r="A7" s="33"/>
      <c r="B7" s="125" t="s">
        <v>6</v>
      </c>
      <c r="C7" s="126"/>
      <c r="D7" s="126"/>
      <c r="E7" s="126"/>
      <c r="F7" s="126"/>
      <c r="G7" s="126"/>
      <c r="H7" s="127"/>
      <c r="I7" s="36"/>
      <c r="J7" s="125" t="s">
        <v>6</v>
      </c>
      <c r="K7" s="126"/>
      <c r="L7" s="126"/>
      <c r="M7" s="126"/>
      <c r="N7" s="126"/>
      <c r="O7" s="126"/>
      <c r="P7" s="126"/>
      <c r="Q7" s="127"/>
      <c r="R7" s="33"/>
      <c r="S7" s="124"/>
      <c r="T7" s="33"/>
      <c r="U7" s="113" t="s">
        <v>7</v>
      </c>
      <c r="V7" s="114"/>
      <c r="W7" s="114"/>
      <c r="X7" s="114"/>
      <c r="Y7" s="114"/>
      <c r="Z7" s="114"/>
      <c r="AA7" s="115"/>
      <c r="AB7" s="36"/>
      <c r="AC7" s="113" t="s">
        <v>7</v>
      </c>
      <c r="AD7" s="114"/>
      <c r="AE7" s="114"/>
      <c r="AF7" s="114"/>
      <c r="AG7" s="114"/>
      <c r="AH7" s="114"/>
      <c r="AI7" s="114"/>
      <c r="AJ7" s="115"/>
      <c r="AK7" s="33"/>
      <c r="AM7" s="33"/>
      <c r="AN7" s="134" t="s">
        <v>8</v>
      </c>
      <c r="AO7" s="135"/>
      <c r="AP7" s="135"/>
      <c r="AQ7" s="135"/>
      <c r="AR7" s="135"/>
      <c r="AS7" s="135"/>
      <c r="AT7" s="135"/>
      <c r="AU7" s="135"/>
      <c r="AV7" s="135"/>
      <c r="AW7" s="136"/>
      <c r="AX7" s="33"/>
    </row>
    <row r="8" spans="1:50">
      <c r="A8" s="33"/>
      <c r="B8" s="120" t="s">
        <v>9</v>
      </c>
      <c r="C8" s="116" t="s">
        <v>10</v>
      </c>
      <c r="D8" s="116"/>
      <c r="E8" s="116"/>
      <c r="F8" s="116"/>
      <c r="G8" s="116"/>
      <c r="H8" s="117"/>
      <c r="I8" s="36"/>
      <c r="J8" s="118" t="s">
        <v>9</v>
      </c>
      <c r="K8" s="102" t="s">
        <v>10</v>
      </c>
      <c r="L8" s="102"/>
      <c r="M8" s="102"/>
      <c r="N8" s="102"/>
      <c r="O8" s="102"/>
      <c r="P8" s="102"/>
      <c r="Q8" s="103"/>
      <c r="R8" s="33"/>
      <c r="S8" s="124"/>
      <c r="T8" s="33"/>
      <c r="U8" s="120" t="s">
        <v>9</v>
      </c>
      <c r="V8" s="116" t="s">
        <v>10</v>
      </c>
      <c r="W8" s="116"/>
      <c r="X8" s="116"/>
      <c r="Y8" s="116"/>
      <c r="Z8" s="116"/>
      <c r="AA8" s="117"/>
      <c r="AB8" s="36"/>
      <c r="AC8" s="118" t="s">
        <v>9</v>
      </c>
      <c r="AD8" s="102" t="s">
        <v>10</v>
      </c>
      <c r="AE8" s="102"/>
      <c r="AF8" s="102"/>
      <c r="AG8" s="102"/>
      <c r="AH8" s="102"/>
      <c r="AI8" s="102"/>
      <c r="AJ8" s="103"/>
      <c r="AK8" s="33"/>
      <c r="AM8" s="33"/>
      <c r="AN8" s="104" t="s">
        <v>9</v>
      </c>
      <c r="AO8" s="102" t="s">
        <v>11</v>
      </c>
      <c r="AP8" s="102"/>
      <c r="AQ8" s="102"/>
      <c r="AR8" s="102"/>
      <c r="AS8" s="102"/>
      <c r="AT8" s="102"/>
      <c r="AU8" s="102"/>
      <c r="AV8" s="102"/>
      <c r="AW8" s="103"/>
      <c r="AX8" s="33"/>
    </row>
    <row r="9" spans="1:50">
      <c r="A9" s="33"/>
      <c r="B9" s="119"/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3" t="s">
        <v>17</v>
      </c>
      <c r="I9" s="36"/>
      <c r="J9" s="119"/>
      <c r="K9" s="9" t="s">
        <v>12</v>
      </c>
      <c r="L9" s="9" t="s">
        <v>13</v>
      </c>
      <c r="M9" s="9" t="s">
        <v>14</v>
      </c>
      <c r="N9" s="9" t="s">
        <v>15</v>
      </c>
      <c r="O9" s="9" t="s">
        <v>16</v>
      </c>
      <c r="P9" s="9" t="s">
        <v>17</v>
      </c>
      <c r="Q9" s="11" t="s">
        <v>18</v>
      </c>
      <c r="R9" s="33"/>
      <c r="S9" s="37"/>
      <c r="T9" s="33"/>
      <c r="U9" s="119"/>
      <c r="V9" s="2" t="s">
        <v>12</v>
      </c>
      <c r="W9" s="2" t="s">
        <v>13</v>
      </c>
      <c r="X9" s="2" t="s">
        <v>14</v>
      </c>
      <c r="Y9" s="2" t="s">
        <v>15</v>
      </c>
      <c r="Z9" s="2" t="s">
        <v>16</v>
      </c>
      <c r="AA9" s="3" t="s">
        <v>17</v>
      </c>
      <c r="AB9" s="36"/>
      <c r="AC9" s="119"/>
      <c r="AD9" s="9" t="s">
        <v>12</v>
      </c>
      <c r="AE9" s="9" t="s">
        <v>13</v>
      </c>
      <c r="AF9" s="9" t="s">
        <v>14</v>
      </c>
      <c r="AG9" s="9" t="s">
        <v>15</v>
      </c>
      <c r="AH9" s="9" t="s">
        <v>16</v>
      </c>
      <c r="AI9" s="9" t="s">
        <v>17</v>
      </c>
      <c r="AJ9" s="11" t="s">
        <v>18</v>
      </c>
      <c r="AK9" s="33"/>
      <c r="AM9" s="33"/>
      <c r="AN9" s="105"/>
      <c r="AO9" s="9" t="s">
        <v>19</v>
      </c>
      <c r="AP9" s="9" t="s">
        <v>20</v>
      </c>
      <c r="AQ9" s="9" t="s">
        <v>21</v>
      </c>
      <c r="AR9" s="9" t="s">
        <v>22</v>
      </c>
      <c r="AS9" s="9" t="s">
        <v>23</v>
      </c>
      <c r="AT9" s="83" t="s">
        <v>24</v>
      </c>
      <c r="AU9" s="83" t="s">
        <v>25</v>
      </c>
      <c r="AV9" s="83" t="s">
        <v>26</v>
      </c>
      <c r="AW9" s="11" t="s">
        <v>18</v>
      </c>
      <c r="AX9" s="33"/>
    </row>
    <row r="10" spans="1:50">
      <c r="A10" s="33"/>
      <c r="B10" s="26" t="s">
        <v>27</v>
      </c>
      <c r="C10" s="29">
        <v>3</v>
      </c>
      <c r="D10" s="29">
        <v>4</v>
      </c>
      <c r="E10" s="29">
        <v>1</v>
      </c>
      <c r="F10" s="29">
        <v>4</v>
      </c>
      <c r="G10" s="29">
        <v>2</v>
      </c>
      <c r="H10" s="30">
        <v>4</v>
      </c>
      <c r="I10" s="36"/>
      <c r="J10" s="26" t="s">
        <v>19</v>
      </c>
      <c r="K10" s="24">
        <v>3</v>
      </c>
      <c r="L10" s="24">
        <v>2</v>
      </c>
      <c r="M10" s="24">
        <v>1</v>
      </c>
      <c r="N10" s="24">
        <v>3</v>
      </c>
      <c r="O10" s="24">
        <v>2</v>
      </c>
      <c r="P10" s="24">
        <v>1</v>
      </c>
      <c r="Q10" s="25">
        <v>18</v>
      </c>
      <c r="R10" s="33"/>
      <c r="S10" s="37"/>
      <c r="T10" s="33"/>
      <c r="U10" s="19" t="s">
        <v>27</v>
      </c>
      <c r="V10" s="41">
        <v>4</v>
      </c>
      <c r="W10" s="41">
        <v>4</v>
      </c>
      <c r="X10" s="41">
        <v>3</v>
      </c>
      <c r="Y10" s="41">
        <v>1</v>
      </c>
      <c r="Z10" s="41">
        <v>1</v>
      </c>
      <c r="AA10" s="42">
        <v>4</v>
      </c>
      <c r="AB10" s="36"/>
      <c r="AC10" s="19" t="s">
        <v>19</v>
      </c>
      <c r="AD10" s="15">
        <v>4</v>
      </c>
      <c r="AE10" s="15">
        <v>3</v>
      </c>
      <c r="AF10" s="15">
        <v>2</v>
      </c>
      <c r="AG10" s="15">
        <v>2</v>
      </c>
      <c r="AH10" s="15">
        <v>1</v>
      </c>
      <c r="AI10" s="15">
        <v>1</v>
      </c>
      <c r="AJ10" s="48">
        <v>17</v>
      </c>
      <c r="AK10" s="33"/>
      <c r="AM10" s="33"/>
      <c r="AN10" s="10" t="s">
        <v>19</v>
      </c>
      <c r="AO10" s="76">
        <v>18</v>
      </c>
      <c r="AP10" s="77">
        <v>11</v>
      </c>
      <c r="AQ10" s="75">
        <v>16</v>
      </c>
      <c r="AR10" s="75">
        <v>15</v>
      </c>
      <c r="AS10" s="78">
        <v>17</v>
      </c>
      <c r="AT10" s="154">
        <v>17</v>
      </c>
      <c r="AU10" s="153">
        <v>18</v>
      </c>
      <c r="AV10" s="75">
        <v>17</v>
      </c>
      <c r="AW10" s="156">
        <f>SUM(AO10:AV10)</f>
        <v>129</v>
      </c>
      <c r="AX10" s="33"/>
    </row>
    <row r="11" spans="1:50">
      <c r="A11" s="33"/>
      <c r="B11" s="7" t="s">
        <v>28</v>
      </c>
      <c r="C11" s="1">
        <v>4</v>
      </c>
      <c r="D11" s="1">
        <v>3</v>
      </c>
      <c r="E11" s="1">
        <v>3</v>
      </c>
      <c r="F11" s="1">
        <v>2</v>
      </c>
      <c r="G11" s="1">
        <v>1</v>
      </c>
      <c r="H11" s="8">
        <v>1</v>
      </c>
      <c r="I11" s="36"/>
      <c r="J11" s="7" t="s">
        <v>20</v>
      </c>
      <c r="K11" s="9">
        <v>4</v>
      </c>
      <c r="L11" s="9">
        <v>4</v>
      </c>
      <c r="M11" s="9">
        <v>4</v>
      </c>
      <c r="N11" s="9">
        <v>4</v>
      </c>
      <c r="O11" s="9">
        <v>4</v>
      </c>
      <c r="P11" s="9">
        <v>4</v>
      </c>
      <c r="Q11" s="11">
        <v>6</v>
      </c>
      <c r="R11" s="33"/>
      <c r="S11" s="37"/>
      <c r="T11" s="33"/>
      <c r="U11" s="7" t="s">
        <v>28</v>
      </c>
      <c r="V11" s="1">
        <v>3</v>
      </c>
      <c r="W11" s="1">
        <v>1</v>
      </c>
      <c r="X11" s="1">
        <v>1</v>
      </c>
      <c r="Y11" s="1">
        <v>4</v>
      </c>
      <c r="Z11" s="1">
        <v>3</v>
      </c>
      <c r="AA11" s="8">
        <v>1</v>
      </c>
      <c r="AB11" s="36"/>
      <c r="AC11" s="7" t="s">
        <v>20</v>
      </c>
      <c r="AD11" s="9">
        <v>3</v>
      </c>
      <c r="AE11" s="9">
        <v>4</v>
      </c>
      <c r="AF11" s="9">
        <v>4</v>
      </c>
      <c r="AG11" s="9">
        <v>1</v>
      </c>
      <c r="AH11" s="9">
        <v>2</v>
      </c>
      <c r="AI11" s="9">
        <v>4</v>
      </c>
      <c r="AJ11" s="11">
        <v>12</v>
      </c>
      <c r="AK11" s="33"/>
      <c r="AM11" s="33"/>
      <c r="AN11" s="10" t="s">
        <v>20</v>
      </c>
      <c r="AO11" s="9">
        <v>6</v>
      </c>
      <c r="AP11" s="45">
        <v>20</v>
      </c>
      <c r="AQ11" s="9">
        <v>6</v>
      </c>
      <c r="AR11" s="9">
        <v>7</v>
      </c>
      <c r="AS11" s="79">
        <v>6</v>
      </c>
      <c r="AT11" s="9">
        <v>12</v>
      </c>
      <c r="AU11" s="152">
        <v>12</v>
      </c>
      <c r="AV11" s="9">
        <v>6</v>
      </c>
      <c r="AW11" s="82">
        <f>SUM(AO11:AV11)</f>
        <v>75</v>
      </c>
      <c r="AX11" s="33"/>
    </row>
    <row r="12" spans="1:50">
      <c r="A12" s="33"/>
      <c r="B12" s="23" t="s">
        <v>29</v>
      </c>
      <c r="C12" s="31">
        <v>2</v>
      </c>
      <c r="D12" s="31">
        <v>2</v>
      </c>
      <c r="E12" s="31">
        <v>4</v>
      </c>
      <c r="F12" s="31">
        <v>1</v>
      </c>
      <c r="G12" s="31">
        <v>3</v>
      </c>
      <c r="H12" s="32">
        <v>2</v>
      </c>
      <c r="I12" s="36"/>
      <c r="J12" s="23" t="s">
        <v>21</v>
      </c>
      <c r="K12" s="24">
        <v>2</v>
      </c>
      <c r="L12" s="24">
        <v>3</v>
      </c>
      <c r="M12" s="24">
        <v>3</v>
      </c>
      <c r="N12" s="24">
        <v>2</v>
      </c>
      <c r="O12" s="24">
        <v>3</v>
      </c>
      <c r="P12" s="24">
        <v>3</v>
      </c>
      <c r="Q12" s="27">
        <v>14</v>
      </c>
      <c r="R12" s="33"/>
      <c r="S12" s="37"/>
      <c r="T12" s="33"/>
      <c r="U12" s="21" t="s">
        <v>29</v>
      </c>
      <c r="V12" s="39">
        <v>2</v>
      </c>
      <c r="W12" s="39">
        <v>3</v>
      </c>
      <c r="X12" s="39">
        <v>4</v>
      </c>
      <c r="Y12" s="39">
        <v>3</v>
      </c>
      <c r="Z12" s="39">
        <v>4</v>
      </c>
      <c r="AA12" s="40">
        <v>2</v>
      </c>
      <c r="AB12" s="36"/>
      <c r="AC12" s="21" t="s">
        <v>21</v>
      </c>
      <c r="AD12" s="15">
        <v>2</v>
      </c>
      <c r="AE12" s="15">
        <v>1</v>
      </c>
      <c r="AF12" s="15">
        <v>1</v>
      </c>
      <c r="AG12" s="15">
        <v>4</v>
      </c>
      <c r="AH12" s="15">
        <v>4</v>
      </c>
      <c r="AI12" s="15">
        <v>3</v>
      </c>
      <c r="AJ12" s="22">
        <v>15</v>
      </c>
      <c r="AK12" s="33"/>
      <c r="AM12" s="33"/>
      <c r="AN12" s="10" t="s">
        <v>21</v>
      </c>
      <c r="AO12" s="75">
        <v>14</v>
      </c>
      <c r="AP12" s="76">
        <v>17</v>
      </c>
      <c r="AQ12" s="76">
        <v>17</v>
      </c>
      <c r="AR12" s="76">
        <v>18</v>
      </c>
      <c r="AS12" s="80">
        <v>16</v>
      </c>
      <c r="AT12" s="75">
        <v>15</v>
      </c>
      <c r="AU12" s="78">
        <v>12</v>
      </c>
      <c r="AV12" s="76">
        <v>18</v>
      </c>
      <c r="AW12" s="157">
        <f>SUM(AO12:AV12)</f>
        <v>127</v>
      </c>
      <c r="AX12" s="33"/>
    </row>
    <row r="13" spans="1:50">
      <c r="A13" s="33"/>
      <c r="B13" s="4" t="s">
        <v>30</v>
      </c>
      <c r="C13" s="5">
        <v>1</v>
      </c>
      <c r="D13" s="5">
        <v>1</v>
      </c>
      <c r="E13" s="5">
        <v>1</v>
      </c>
      <c r="F13" s="5">
        <v>3</v>
      </c>
      <c r="G13" s="5">
        <v>4</v>
      </c>
      <c r="H13" s="6">
        <v>3</v>
      </c>
      <c r="I13" s="36"/>
      <c r="J13" s="4" t="s">
        <v>22</v>
      </c>
      <c r="K13" s="13">
        <v>1</v>
      </c>
      <c r="L13" s="13">
        <v>1</v>
      </c>
      <c r="M13" s="13">
        <v>2</v>
      </c>
      <c r="N13" s="13">
        <v>1</v>
      </c>
      <c r="O13" s="13">
        <v>1</v>
      </c>
      <c r="P13" s="13">
        <v>2</v>
      </c>
      <c r="Q13" s="16">
        <v>22</v>
      </c>
      <c r="R13" s="33"/>
      <c r="S13" s="37"/>
      <c r="T13" s="33"/>
      <c r="U13" s="4" t="s">
        <v>30</v>
      </c>
      <c r="V13" s="5">
        <v>1</v>
      </c>
      <c r="W13" s="5">
        <v>2</v>
      </c>
      <c r="X13" s="5">
        <v>2</v>
      </c>
      <c r="Y13" s="5">
        <v>2</v>
      </c>
      <c r="Z13" s="5">
        <v>2</v>
      </c>
      <c r="AA13" s="6">
        <v>3</v>
      </c>
      <c r="AB13" s="36"/>
      <c r="AC13" s="4" t="s">
        <v>22</v>
      </c>
      <c r="AD13" s="13">
        <v>1</v>
      </c>
      <c r="AE13" s="13">
        <v>2</v>
      </c>
      <c r="AF13" s="13">
        <v>3</v>
      </c>
      <c r="AG13" s="13">
        <v>3</v>
      </c>
      <c r="AH13" s="13">
        <v>3</v>
      </c>
      <c r="AI13" s="13">
        <v>2</v>
      </c>
      <c r="AJ13" s="49">
        <v>16</v>
      </c>
      <c r="AK13" s="33"/>
      <c r="AM13" s="33"/>
      <c r="AN13" s="12" t="s">
        <v>22</v>
      </c>
      <c r="AO13" s="53">
        <v>22</v>
      </c>
      <c r="AP13" s="54">
        <v>12</v>
      </c>
      <c r="AQ13" s="53">
        <v>21</v>
      </c>
      <c r="AR13" s="53">
        <v>20</v>
      </c>
      <c r="AS13" s="81">
        <v>21</v>
      </c>
      <c r="AT13" s="84">
        <v>16</v>
      </c>
      <c r="AU13" s="81">
        <v>18</v>
      </c>
      <c r="AV13" s="53">
        <v>19</v>
      </c>
      <c r="AW13" s="155">
        <f>SUM(AO13:AV13)</f>
        <v>149</v>
      </c>
      <c r="AX13" s="33"/>
    </row>
    <row r="14" spans="1:50">
      <c r="A14" s="33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3"/>
      <c r="S14" s="37"/>
      <c r="T14" s="33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</row>
    <row r="15" spans="1:50">
      <c r="A15" s="33"/>
      <c r="B15" s="125" t="s">
        <v>31</v>
      </c>
      <c r="C15" s="126"/>
      <c r="D15" s="126"/>
      <c r="E15" s="126"/>
      <c r="F15" s="126"/>
      <c r="G15" s="126"/>
      <c r="H15" s="127"/>
      <c r="I15" s="36"/>
      <c r="J15" s="125" t="s">
        <v>31</v>
      </c>
      <c r="K15" s="126"/>
      <c r="L15" s="126"/>
      <c r="M15" s="126"/>
      <c r="N15" s="126"/>
      <c r="O15" s="126"/>
      <c r="P15" s="126"/>
      <c r="Q15" s="127"/>
      <c r="R15" s="33"/>
      <c r="T15" s="33"/>
      <c r="U15" s="113" t="s">
        <v>32</v>
      </c>
      <c r="V15" s="114"/>
      <c r="W15" s="114"/>
      <c r="X15" s="114"/>
      <c r="Y15" s="114"/>
      <c r="Z15" s="114"/>
      <c r="AA15" s="115"/>
      <c r="AB15" s="36"/>
      <c r="AC15" s="113" t="s">
        <v>32</v>
      </c>
      <c r="AD15" s="114"/>
      <c r="AE15" s="114"/>
      <c r="AF15" s="114"/>
      <c r="AG15" s="114"/>
      <c r="AH15" s="114"/>
      <c r="AI15" s="114"/>
      <c r="AJ15" s="115"/>
      <c r="AK15" s="33"/>
    </row>
    <row r="16" spans="1:50">
      <c r="A16" s="33"/>
      <c r="B16" s="120" t="s">
        <v>9</v>
      </c>
      <c r="C16" s="116" t="s">
        <v>10</v>
      </c>
      <c r="D16" s="116"/>
      <c r="E16" s="116"/>
      <c r="F16" s="116"/>
      <c r="G16" s="116"/>
      <c r="H16" s="117"/>
      <c r="I16" s="36"/>
      <c r="J16" s="118" t="s">
        <v>9</v>
      </c>
      <c r="K16" s="102" t="s">
        <v>10</v>
      </c>
      <c r="L16" s="102"/>
      <c r="M16" s="102"/>
      <c r="N16" s="102"/>
      <c r="O16" s="102"/>
      <c r="P16" s="102"/>
      <c r="Q16" s="103"/>
      <c r="R16" s="33"/>
      <c r="T16" s="33"/>
      <c r="U16" s="120" t="s">
        <v>9</v>
      </c>
      <c r="V16" s="116" t="s">
        <v>10</v>
      </c>
      <c r="W16" s="116"/>
      <c r="X16" s="116"/>
      <c r="Y16" s="116"/>
      <c r="Z16" s="116"/>
      <c r="AA16" s="117"/>
      <c r="AB16" s="36"/>
      <c r="AC16" s="118" t="s">
        <v>9</v>
      </c>
      <c r="AD16" s="102" t="s">
        <v>10</v>
      </c>
      <c r="AE16" s="102"/>
      <c r="AF16" s="102"/>
      <c r="AG16" s="102"/>
      <c r="AH16" s="102"/>
      <c r="AI16" s="102"/>
      <c r="AJ16" s="103"/>
      <c r="AK16" s="33"/>
    </row>
    <row r="17" spans="1:37">
      <c r="A17" s="33"/>
      <c r="B17" s="119"/>
      <c r="C17" s="2" t="s">
        <v>12</v>
      </c>
      <c r="D17" s="2" t="s">
        <v>13</v>
      </c>
      <c r="E17" s="2" t="s">
        <v>14</v>
      </c>
      <c r="F17" s="2" t="s">
        <v>15</v>
      </c>
      <c r="G17" s="2" t="s">
        <v>16</v>
      </c>
      <c r="H17" s="3" t="s">
        <v>17</v>
      </c>
      <c r="I17" s="36"/>
      <c r="J17" s="119"/>
      <c r="K17" s="9" t="s">
        <v>12</v>
      </c>
      <c r="L17" s="9" t="s">
        <v>13</v>
      </c>
      <c r="M17" s="9" t="s">
        <v>14</v>
      </c>
      <c r="N17" s="9" t="s">
        <v>15</v>
      </c>
      <c r="O17" s="9" t="s">
        <v>16</v>
      </c>
      <c r="P17" s="9" t="s">
        <v>17</v>
      </c>
      <c r="Q17" s="11" t="s">
        <v>18</v>
      </c>
      <c r="R17" s="33"/>
      <c r="T17" s="33"/>
      <c r="U17" s="119"/>
      <c r="V17" s="2" t="s">
        <v>12</v>
      </c>
      <c r="W17" s="2" t="s">
        <v>13</v>
      </c>
      <c r="X17" s="2" t="s">
        <v>14</v>
      </c>
      <c r="Y17" s="2" t="s">
        <v>15</v>
      </c>
      <c r="Z17" s="2" t="s">
        <v>16</v>
      </c>
      <c r="AA17" s="3" t="s">
        <v>17</v>
      </c>
      <c r="AB17" s="36"/>
      <c r="AC17" s="119"/>
      <c r="AD17" s="9" t="s">
        <v>12</v>
      </c>
      <c r="AE17" s="9" t="s">
        <v>13</v>
      </c>
      <c r="AF17" s="9" t="s">
        <v>14</v>
      </c>
      <c r="AG17" s="9" t="s">
        <v>15</v>
      </c>
      <c r="AH17" s="9" t="s">
        <v>16</v>
      </c>
      <c r="AI17" s="9" t="s">
        <v>17</v>
      </c>
      <c r="AJ17" s="11" t="s">
        <v>18</v>
      </c>
      <c r="AK17" s="33"/>
    </row>
    <row r="18" spans="1:37">
      <c r="A18" s="33"/>
      <c r="B18" s="26" t="s">
        <v>27</v>
      </c>
      <c r="C18" s="29">
        <v>3</v>
      </c>
      <c r="D18" s="29">
        <v>1</v>
      </c>
      <c r="E18" s="29">
        <v>4</v>
      </c>
      <c r="F18" s="29">
        <v>1</v>
      </c>
      <c r="G18" s="29">
        <v>2</v>
      </c>
      <c r="H18" s="30">
        <v>1</v>
      </c>
      <c r="I18" s="36"/>
      <c r="J18" s="26" t="s">
        <v>19</v>
      </c>
      <c r="K18" s="24">
        <v>3</v>
      </c>
      <c r="L18" s="24">
        <v>4</v>
      </c>
      <c r="M18" s="24">
        <v>2</v>
      </c>
      <c r="N18" s="24">
        <v>4</v>
      </c>
      <c r="O18" s="24">
        <v>2</v>
      </c>
      <c r="P18" s="24">
        <v>4</v>
      </c>
      <c r="Q18" s="28">
        <v>11</v>
      </c>
      <c r="R18" s="33"/>
      <c r="T18" s="33"/>
      <c r="U18" s="19" t="s">
        <v>27</v>
      </c>
      <c r="V18" s="41">
        <v>3</v>
      </c>
      <c r="W18" s="41">
        <v>2</v>
      </c>
      <c r="X18" s="41">
        <v>3</v>
      </c>
      <c r="Y18" s="41">
        <v>3</v>
      </c>
      <c r="Z18" s="41">
        <v>2</v>
      </c>
      <c r="AA18" s="42">
        <v>4</v>
      </c>
      <c r="AB18" s="36"/>
      <c r="AC18" s="19" t="s">
        <v>19</v>
      </c>
      <c r="AD18" s="15">
        <v>3</v>
      </c>
      <c r="AE18" s="15">
        <v>3</v>
      </c>
      <c r="AF18" s="15">
        <v>2</v>
      </c>
      <c r="AG18" s="15">
        <v>1</v>
      </c>
      <c r="AH18" s="15">
        <v>2</v>
      </c>
      <c r="AI18" s="15">
        <v>1</v>
      </c>
      <c r="AJ18" s="148">
        <v>18</v>
      </c>
      <c r="AK18" s="33"/>
    </row>
    <row r="19" spans="1:37">
      <c r="A19" s="33"/>
      <c r="B19" s="7" t="s">
        <v>28</v>
      </c>
      <c r="C19" s="1">
        <v>2</v>
      </c>
      <c r="D19" s="1">
        <v>3</v>
      </c>
      <c r="E19" s="1">
        <v>3</v>
      </c>
      <c r="F19" s="1">
        <v>2</v>
      </c>
      <c r="G19" s="1">
        <v>3</v>
      </c>
      <c r="H19" s="8">
        <v>4</v>
      </c>
      <c r="I19" s="36"/>
      <c r="J19" s="7" t="s">
        <v>20</v>
      </c>
      <c r="K19" s="9">
        <v>2</v>
      </c>
      <c r="L19" s="9">
        <v>1</v>
      </c>
      <c r="M19" s="9">
        <v>1</v>
      </c>
      <c r="N19" s="9">
        <v>1</v>
      </c>
      <c r="O19" s="9">
        <v>4</v>
      </c>
      <c r="P19" s="9">
        <v>1</v>
      </c>
      <c r="Q19" s="17">
        <v>20</v>
      </c>
      <c r="R19" s="33"/>
      <c r="T19" s="33"/>
      <c r="U19" s="7" t="s">
        <v>28</v>
      </c>
      <c r="V19" s="1">
        <v>4</v>
      </c>
      <c r="W19" s="1">
        <v>4</v>
      </c>
      <c r="X19" s="1">
        <v>1</v>
      </c>
      <c r="Y19" s="1">
        <v>4</v>
      </c>
      <c r="Z19" s="1">
        <v>3</v>
      </c>
      <c r="AA19" s="8">
        <v>1</v>
      </c>
      <c r="AB19" s="36"/>
      <c r="AC19" s="7" t="s">
        <v>20</v>
      </c>
      <c r="AD19" s="9">
        <v>4</v>
      </c>
      <c r="AE19" s="9">
        <v>2</v>
      </c>
      <c r="AF19" s="9">
        <v>4</v>
      </c>
      <c r="AG19" s="9">
        <v>3</v>
      </c>
      <c r="AH19" s="9">
        <v>1</v>
      </c>
      <c r="AI19" s="9">
        <v>4</v>
      </c>
      <c r="AJ19" s="149">
        <v>12</v>
      </c>
      <c r="AK19" s="33"/>
    </row>
    <row r="20" spans="1:37">
      <c r="A20" s="33"/>
      <c r="B20" s="23" t="s">
        <v>29</v>
      </c>
      <c r="C20" s="31">
        <v>1</v>
      </c>
      <c r="D20" s="31">
        <v>4</v>
      </c>
      <c r="E20" s="31">
        <v>1</v>
      </c>
      <c r="F20" s="31">
        <v>3</v>
      </c>
      <c r="G20" s="31">
        <v>1</v>
      </c>
      <c r="H20" s="32">
        <v>2</v>
      </c>
      <c r="I20" s="36"/>
      <c r="J20" s="23" t="s">
        <v>21</v>
      </c>
      <c r="K20" s="24">
        <v>1</v>
      </c>
      <c r="L20" s="24">
        <v>3</v>
      </c>
      <c r="M20" s="24">
        <v>3</v>
      </c>
      <c r="N20" s="24">
        <v>2</v>
      </c>
      <c r="O20" s="24">
        <v>1</v>
      </c>
      <c r="P20" s="24">
        <v>3</v>
      </c>
      <c r="Q20" s="25">
        <v>17</v>
      </c>
      <c r="R20" s="33"/>
      <c r="T20" s="33"/>
      <c r="U20" s="21" t="s">
        <v>29</v>
      </c>
      <c r="V20" s="39">
        <v>2</v>
      </c>
      <c r="W20" s="39">
        <v>3</v>
      </c>
      <c r="X20" s="39">
        <v>4</v>
      </c>
      <c r="Y20" s="39">
        <v>2</v>
      </c>
      <c r="Z20" s="39">
        <v>4</v>
      </c>
      <c r="AA20" s="40">
        <v>2</v>
      </c>
      <c r="AB20" s="36"/>
      <c r="AC20" s="21" t="s">
        <v>21</v>
      </c>
      <c r="AD20" s="15">
        <v>2</v>
      </c>
      <c r="AE20" s="15">
        <v>4</v>
      </c>
      <c r="AF20" s="15">
        <v>1</v>
      </c>
      <c r="AG20" s="15">
        <v>4</v>
      </c>
      <c r="AH20" s="15">
        <v>4</v>
      </c>
      <c r="AI20" s="15">
        <v>3</v>
      </c>
      <c r="AJ20" s="20">
        <v>12</v>
      </c>
      <c r="AK20" s="33"/>
    </row>
    <row r="21" spans="1:37">
      <c r="A21" s="33"/>
      <c r="B21" s="4" t="s">
        <v>30</v>
      </c>
      <c r="C21" s="5">
        <v>4</v>
      </c>
      <c r="D21" s="5">
        <v>2</v>
      </c>
      <c r="E21" s="5">
        <v>2</v>
      </c>
      <c r="F21" s="5">
        <v>4</v>
      </c>
      <c r="G21" s="5">
        <v>4</v>
      </c>
      <c r="H21" s="6">
        <v>3</v>
      </c>
      <c r="I21" s="36"/>
      <c r="J21" s="4" t="s">
        <v>22</v>
      </c>
      <c r="K21" s="13">
        <v>4</v>
      </c>
      <c r="L21" s="13">
        <v>2</v>
      </c>
      <c r="M21" s="13">
        <v>4</v>
      </c>
      <c r="N21" s="13">
        <v>3</v>
      </c>
      <c r="O21" s="13">
        <v>3</v>
      </c>
      <c r="P21" s="13">
        <v>2</v>
      </c>
      <c r="Q21" s="18">
        <v>12</v>
      </c>
      <c r="R21" s="33"/>
      <c r="T21" s="33"/>
      <c r="U21" s="4" t="s">
        <v>30</v>
      </c>
      <c r="V21" s="5">
        <v>1</v>
      </c>
      <c r="W21" s="5">
        <v>1</v>
      </c>
      <c r="X21" s="5">
        <v>2</v>
      </c>
      <c r="Y21" s="5">
        <v>1</v>
      </c>
      <c r="Z21" s="5">
        <v>1</v>
      </c>
      <c r="AA21" s="6">
        <v>3</v>
      </c>
      <c r="AB21" s="36"/>
      <c r="AC21" s="4" t="s">
        <v>22</v>
      </c>
      <c r="AD21" s="13">
        <v>1</v>
      </c>
      <c r="AE21" s="13">
        <v>1</v>
      </c>
      <c r="AF21" s="13">
        <v>3</v>
      </c>
      <c r="AG21" s="13">
        <v>2</v>
      </c>
      <c r="AH21" s="13">
        <v>3</v>
      </c>
      <c r="AI21" s="13">
        <v>2</v>
      </c>
      <c r="AJ21" s="16">
        <v>18</v>
      </c>
      <c r="AK21" s="33"/>
    </row>
    <row r="22" spans="1:37">
      <c r="A22" s="33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3"/>
      <c r="T22" s="33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3"/>
    </row>
    <row r="23" spans="1:37">
      <c r="A23" s="33"/>
      <c r="B23" s="125" t="s">
        <v>33</v>
      </c>
      <c r="C23" s="126"/>
      <c r="D23" s="126"/>
      <c r="E23" s="126"/>
      <c r="F23" s="126"/>
      <c r="G23" s="126"/>
      <c r="H23" s="127"/>
      <c r="I23" s="36"/>
      <c r="J23" s="125" t="s">
        <v>33</v>
      </c>
      <c r="K23" s="126"/>
      <c r="L23" s="126"/>
      <c r="M23" s="126"/>
      <c r="N23" s="126"/>
      <c r="O23" s="126"/>
      <c r="P23" s="126"/>
      <c r="Q23" s="127"/>
      <c r="R23" s="33"/>
      <c r="T23" s="33"/>
      <c r="U23" s="113" t="s">
        <v>34</v>
      </c>
      <c r="V23" s="114"/>
      <c r="W23" s="114"/>
      <c r="X23" s="114"/>
      <c r="Y23" s="114"/>
      <c r="Z23" s="114"/>
      <c r="AA23" s="115"/>
      <c r="AB23" s="36"/>
      <c r="AC23" s="113" t="s">
        <v>34</v>
      </c>
      <c r="AD23" s="114"/>
      <c r="AE23" s="114"/>
      <c r="AF23" s="114"/>
      <c r="AG23" s="114"/>
      <c r="AH23" s="114"/>
      <c r="AI23" s="114"/>
      <c r="AJ23" s="115"/>
      <c r="AK23" s="33"/>
    </row>
    <row r="24" spans="1:37">
      <c r="A24" s="33"/>
      <c r="B24" s="120" t="s">
        <v>9</v>
      </c>
      <c r="C24" s="116" t="s">
        <v>10</v>
      </c>
      <c r="D24" s="116"/>
      <c r="E24" s="116"/>
      <c r="F24" s="116"/>
      <c r="G24" s="116"/>
      <c r="H24" s="117"/>
      <c r="I24" s="36"/>
      <c r="J24" s="118" t="s">
        <v>9</v>
      </c>
      <c r="K24" s="102" t="s">
        <v>10</v>
      </c>
      <c r="L24" s="102"/>
      <c r="M24" s="102"/>
      <c r="N24" s="102"/>
      <c r="O24" s="102"/>
      <c r="P24" s="102"/>
      <c r="Q24" s="103"/>
      <c r="R24" s="33"/>
      <c r="T24" s="33"/>
      <c r="U24" s="87" t="s">
        <v>9</v>
      </c>
      <c r="V24" s="116" t="s">
        <v>10</v>
      </c>
      <c r="W24" s="116"/>
      <c r="X24" s="116"/>
      <c r="Y24" s="116"/>
      <c r="Z24" s="116"/>
      <c r="AA24" s="117"/>
      <c r="AB24" s="36"/>
      <c r="AC24" s="118" t="s">
        <v>9</v>
      </c>
      <c r="AD24" s="102" t="s">
        <v>10</v>
      </c>
      <c r="AE24" s="102"/>
      <c r="AF24" s="102"/>
      <c r="AG24" s="102"/>
      <c r="AH24" s="102"/>
      <c r="AI24" s="102"/>
      <c r="AJ24" s="103"/>
      <c r="AK24" s="33"/>
    </row>
    <row r="25" spans="1:37">
      <c r="A25" s="33"/>
      <c r="B25" s="119"/>
      <c r="C25" s="2" t="s">
        <v>12</v>
      </c>
      <c r="D25" s="2" t="s">
        <v>13</v>
      </c>
      <c r="E25" s="2" t="s">
        <v>14</v>
      </c>
      <c r="F25" s="2" t="s">
        <v>15</v>
      </c>
      <c r="G25" s="2" t="s">
        <v>16</v>
      </c>
      <c r="H25" s="3" t="s">
        <v>17</v>
      </c>
      <c r="I25" s="36"/>
      <c r="J25" s="119"/>
      <c r="K25" s="9" t="s">
        <v>12</v>
      </c>
      <c r="L25" s="9" t="s">
        <v>13</v>
      </c>
      <c r="M25" s="9" t="s">
        <v>14</v>
      </c>
      <c r="N25" s="9" t="s">
        <v>15</v>
      </c>
      <c r="O25" s="9" t="s">
        <v>16</v>
      </c>
      <c r="P25" s="9" t="s">
        <v>17</v>
      </c>
      <c r="Q25" s="11" t="s">
        <v>18</v>
      </c>
      <c r="R25" s="33"/>
      <c r="T25" s="33"/>
      <c r="U25" s="88"/>
      <c r="V25" s="2" t="s">
        <v>12</v>
      </c>
      <c r="W25" s="2" t="s">
        <v>13</v>
      </c>
      <c r="X25" s="2" t="s">
        <v>14</v>
      </c>
      <c r="Y25" s="2" t="s">
        <v>15</v>
      </c>
      <c r="Z25" s="2" t="s">
        <v>16</v>
      </c>
      <c r="AA25" s="3" t="s">
        <v>17</v>
      </c>
      <c r="AB25" s="36"/>
      <c r="AC25" s="119"/>
      <c r="AD25" s="9" t="s">
        <v>12</v>
      </c>
      <c r="AE25" s="9" t="s">
        <v>13</v>
      </c>
      <c r="AF25" s="9" t="s">
        <v>14</v>
      </c>
      <c r="AG25" s="9" t="s">
        <v>15</v>
      </c>
      <c r="AH25" s="9" t="s">
        <v>16</v>
      </c>
      <c r="AI25" s="9" t="s">
        <v>17</v>
      </c>
      <c r="AJ25" s="11" t="s">
        <v>18</v>
      </c>
      <c r="AK25" s="33"/>
    </row>
    <row r="26" spans="1:37">
      <c r="A26" s="33"/>
      <c r="B26" s="26" t="s">
        <v>27</v>
      </c>
      <c r="C26" s="29">
        <v>3</v>
      </c>
      <c r="D26" s="29">
        <v>4</v>
      </c>
      <c r="E26" s="29">
        <v>1</v>
      </c>
      <c r="F26" s="29">
        <v>4</v>
      </c>
      <c r="G26" s="29">
        <v>2</v>
      </c>
      <c r="H26" s="30">
        <v>4</v>
      </c>
      <c r="I26" s="36"/>
      <c r="J26" s="26" t="s">
        <v>19</v>
      </c>
      <c r="K26" s="24">
        <v>3</v>
      </c>
      <c r="L26" s="24">
        <v>2</v>
      </c>
      <c r="M26" s="24">
        <v>2</v>
      </c>
      <c r="N26" s="24">
        <v>2</v>
      </c>
      <c r="O26" s="24">
        <v>2</v>
      </c>
      <c r="P26" s="24">
        <v>3</v>
      </c>
      <c r="Q26" s="27">
        <v>16</v>
      </c>
      <c r="R26" s="33"/>
      <c r="T26" s="33"/>
      <c r="U26" s="19" t="s">
        <v>27</v>
      </c>
      <c r="V26" s="41">
        <v>1</v>
      </c>
      <c r="W26" s="41">
        <v>4</v>
      </c>
      <c r="X26" s="41">
        <v>1</v>
      </c>
      <c r="Y26" s="41">
        <v>4</v>
      </c>
      <c r="Z26" s="41">
        <v>2</v>
      </c>
      <c r="AA26" s="42">
        <v>4</v>
      </c>
      <c r="AB26" s="36"/>
      <c r="AC26" s="19" t="s">
        <v>19</v>
      </c>
      <c r="AD26" s="15">
        <v>1</v>
      </c>
      <c r="AE26" s="15">
        <v>3</v>
      </c>
      <c r="AF26" s="15">
        <v>3</v>
      </c>
      <c r="AG26" s="15">
        <v>1</v>
      </c>
      <c r="AH26" s="15">
        <v>2</v>
      </c>
      <c r="AI26" s="15">
        <v>3</v>
      </c>
      <c r="AJ26" s="22">
        <v>17</v>
      </c>
      <c r="AK26" s="33"/>
    </row>
    <row r="27" spans="1:37">
      <c r="A27" s="33"/>
      <c r="B27" s="7" t="s">
        <v>28</v>
      </c>
      <c r="C27" s="1">
        <v>4</v>
      </c>
      <c r="D27" s="1">
        <v>3</v>
      </c>
      <c r="E27" s="1">
        <v>3</v>
      </c>
      <c r="F27" s="1">
        <v>3</v>
      </c>
      <c r="G27" s="1">
        <v>3</v>
      </c>
      <c r="H27" s="8">
        <v>3</v>
      </c>
      <c r="I27" s="36"/>
      <c r="J27" s="7" t="s">
        <v>20</v>
      </c>
      <c r="K27" s="9">
        <v>4</v>
      </c>
      <c r="L27" s="9">
        <v>4</v>
      </c>
      <c r="M27" s="9">
        <v>4</v>
      </c>
      <c r="N27" s="9">
        <v>4</v>
      </c>
      <c r="O27" s="9">
        <v>4</v>
      </c>
      <c r="P27" s="9">
        <v>4</v>
      </c>
      <c r="Q27" s="11">
        <v>6</v>
      </c>
      <c r="R27" s="33"/>
      <c r="T27" s="33"/>
      <c r="U27" s="7" t="s">
        <v>28</v>
      </c>
      <c r="V27" s="1">
        <v>4</v>
      </c>
      <c r="W27" s="1">
        <v>2</v>
      </c>
      <c r="X27" s="1">
        <v>2</v>
      </c>
      <c r="Y27" s="1">
        <v>3</v>
      </c>
      <c r="Z27" s="1">
        <v>3</v>
      </c>
      <c r="AA27" s="8">
        <v>3</v>
      </c>
      <c r="AB27" s="36"/>
      <c r="AC27" s="7" t="s">
        <v>20</v>
      </c>
      <c r="AD27" s="9">
        <v>4</v>
      </c>
      <c r="AE27" s="9">
        <v>4</v>
      </c>
      <c r="AF27" s="9">
        <v>4</v>
      </c>
      <c r="AG27" s="9">
        <v>4</v>
      </c>
      <c r="AH27" s="9">
        <v>4</v>
      </c>
      <c r="AI27" s="9">
        <v>4</v>
      </c>
      <c r="AJ27" s="11">
        <v>6</v>
      </c>
      <c r="AK27" s="33"/>
    </row>
    <row r="28" spans="1:37">
      <c r="A28" s="33"/>
      <c r="B28" s="23" t="s">
        <v>29</v>
      </c>
      <c r="C28" s="31">
        <v>2</v>
      </c>
      <c r="D28" s="31">
        <v>2</v>
      </c>
      <c r="E28" s="31">
        <v>4</v>
      </c>
      <c r="F28" s="31">
        <v>1</v>
      </c>
      <c r="G28" s="31">
        <v>1</v>
      </c>
      <c r="H28" s="32">
        <v>2</v>
      </c>
      <c r="I28" s="36"/>
      <c r="J28" s="23" t="s">
        <v>21</v>
      </c>
      <c r="K28" s="24">
        <v>2</v>
      </c>
      <c r="L28" s="24">
        <v>3</v>
      </c>
      <c r="M28" s="24">
        <v>3</v>
      </c>
      <c r="N28" s="24">
        <v>3</v>
      </c>
      <c r="O28" s="24">
        <v>1</v>
      </c>
      <c r="P28" s="24">
        <v>1</v>
      </c>
      <c r="Q28" s="25">
        <v>17</v>
      </c>
      <c r="R28" s="33"/>
      <c r="T28" s="33"/>
      <c r="U28" s="21" t="s">
        <v>29</v>
      </c>
      <c r="V28" s="39">
        <v>2</v>
      </c>
      <c r="W28" s="39">
        <v>3</v>
      </c>
      <c r="X28" s="39">
        <v>4</v>
      </c>
      <c r="Y28" s="39">
        <v>2</v>
      </c>
      <c r="Z28" s="39">
        <v>1</v>
      </c>
      <c r="AA28" s="40">
        <v>1</v>
      </c>
      <c r="AB28" s="36"/>
      <c r="AC28" s="21" t="s">
        <v>21</v>
      </c>
      <c r="AD28" s="15">
        <v>2</v>
      </c>
      <c r="AE28" s="15">
        <v>2</v>
      </c>
      <c r="AF28" s="15">
        <v>2</v>
      </c>
      <c r="AG28" s="15">
        <v>3</v>
      </c>
      <c r="AH28" s="15">
        <v>1</v>
      </c>
      <c r="AI28" s="15">
        <v>2</v>
      </c>
      <c r="AJ28" s="20">
        <v>18</v>
      </c>
      <c r="AK28" s="33"/>
    </row>
    <row r="29" spans="1:37">
      <c r="A29" s="33"/>
      <c r="B29" s="4" t="s">
        <v>30</v>
      </c>
      <c r="C29" s="5">
        <v>1</v>
      </c>
      <c r="D29" s="5">
        <v>1</v>
      </c>
      <c r="E29" s="5">
        <v>2</v>
      </c>
      <c r="F29" s="5">
        <v>2</v>
      </c>
      <c r="G29" s="5">
        <v>4</v>
      </c>
      <c r="H29" s="6">
        <v>1</v>
      </c>
      <c r="I29" s="36"/>
      <c r="J29" s="4" t="s">
        <v>22</v>
      </c>
      <c r="K29" s="13">
        <v>1</v>
      </c>
      <c r="L29" s="13">
        <v>1</v>
      </c>
      <c r="M29" s="13">
        <v>1</v>
      </c>
      <c r="N29" s="13">
        <v>1</v>
      </c>
      <c r="O29" s="13">
        <v>3</v>
      </c>
      <c r="P29" s="13">
        <v>2</v>
      </c>
      <c r="Q29" s="16">
        <v>21</v>
      </c>
      <c r="R29" s="33"/>
      <c r="T29" s="33"/>
      <c r="U29" s="4" t="s">
        <v>30</v>
      </c>
      <c r="V29" s="5">
        <v>3</v>
      </c>
      <c r="W29" s="5">
        <v>1</v>
      </c>
      <c r="X29" s="5">
        <v>3</v>
      </c>
      <c r="Y29" s="5">
        <v>1</v>
      </c>
      <c r="Z29" s="5">
        <v>4</v>
      </c>
      <c r="AA29" s="6">
        <v>2</v>
      </c>
      <c r="AB29" s="36"/>
      <c r="AC29" s="4" t="s">
        <v>22</v>
      </c>
      <c r="AD29" s="13">
        <v>3</v>
      </c>
      <c r="AE29" s="13">
        <v>1</v>
      </c>
      <c r="AF29" s="13">
        <v>1</v>
      </c>
      <c r="AG29" s="13">
        <v>2</v>
      </c>
      <c r="AH29" s="13">
        <v>3</v>
      </c>
      <c r="AI29" s="13">
        <v>1</v>
      </c>
      <c r="AJ29" s="16">
        <v>19</v>
      </c>
      <c r="AK29" s="33"/>
    </row>
    <row r="30" spans="1:37">
      <c r="A30" s="33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3"/>
      <c r="T30" s="33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3"/>
    </row>
    <row r="31" spans="1:37">
      <c r="A31" s="33"/>
      <c r="B31" s="125" t="s">
        <v>35</v>
      </c>
      <c r="C31" s="126"/>
      <c r="D31" s="126"/>
      <c r="E31" s="126"/>
      <c r="F31" s="126"/>
      <c r="G31" s="126"/>
      <c r="H31" s="127"/>
      <c r="I31" s="36"/>
      <c r="J31" s="125" t="s">
        <v>35</v>
      </c>
      <c r="K31" s="126"/>
      <c r="L31" s="126"/>
      <c r="M31" s="126"/>
      <c r="N31" s="126"/>
      <c r="O31" s="126"/>
      <c r="P31" s="126"/>
      <c r="Q31" s="127"/>
      <c r="R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</row>
    <row r="32" spans="1:37">
      <c r="A32" s="33"/>
      <c r="B32" s="120" t="s">
        <v>9</v>
      </c>
      <c r="C32" s="116" t="s">
        <v>10</v>
      </c>
      <c r="D32" s="116"/>
      <c r="E32" s="116"/>
      <c r="F32" s="116"/>
      <c r="G32" s="116"/>
      <c r="H32" s="117"/>
      <c r="I32" s="36"/>
      <c r="J32" s="118" t="s">
        <v>9</v>
      </c>
      <c r="K32" s="102" t="s">
        <v>10</v>
      </c>
      <c r="L32" s="102"/>
      <c r="M32" s="102"/>
      <c r="N32" s="102"/>
      <c r="O32" s="102"/>
      <c r="P32" s="102"/>
      <c r="Q32" s="103"/>
      <c r="R32" s="33"/>
      <c r="T32" s="33"/>
      <c r="U32" s="113" t="s">
        <v>36</v>
      </c>
      <c r="V32" s="114"/>
      <c r="W32" s="114"/>
      <c r="X32" s="115"/>
      <c r="Y32" s="52"/>
      <c r="Z32" s="52"/>
      <c r="AA32" s="33"/>
      <c r="AB32" s="33"/>
      <c r="AC32" s="33"/>
      <c r="AD32" s="33"/>
      <c r="AE32" s="33"/>
      <c r="AF32" s="33"/>
      <c r="AG32" s="33"/>
      <c r="AH32" s="33"/>
      <c r="AI32" s="106" t="s">
        <v>37</v>
      </c>
      <c r="AJ32" s="107"/>
      <c r="AK32" s="33"/>
    </row>
    <row r="33" spans="1:37">
      <c r="A33" s="33"/>
      <c r="B33" s="119"/>
      <c r="C33" s="2" t="s">
        <v>12</v>
      </c>
      <c r="D33" s="2" t="s">
        <v>13</v>
      </c>
      <c r="E33" s="2" t="s">
        <v>14</v>
      </c>
      <c r="F33" s="2" t="s">
        <v>15</v>
      </c>
      <c r="G33" s="2" t="s">
        <v>16</v>
      </c>
      <c r="H33" s="3" t="s">
        <v>17</v>
      </c>
      <c r="I33" s="36"/>
      <c r="J33" s="119"/>
      <c r="K33" s="9" t="s">
        <v>12</v>
      </c>
      <c r="L33" s="9" t="s">
        <v>13</v>
      </c>
      <c r="M33" s="9" t="s">
        <v>14</v>
      </c>
      <c r="N33" s="9" t="s">
        <v>15</v>
      </c>
      <c r="O33" s="9" t="s">
        <v>16</v>
      </c>
      <c r="P33" s="9" t="s">
        <v>17</v>
      </c>
      <c r="Q33" s="11" t="s">
        <v>18</v>
      </c>
      <c r="R33" s="33"/>
      <c r="T33" s="33"/>
      <c r="U33" s="85" t="s">
        <v>9</v>
      </c>
      <c r="V33" s="110" t="s">
        <v>11</v>
      </c>
      <c r="W33" s="111"/>
      <c r="X33" s="112"/>
      <c r="Y33" s="52"/>
      <c r="Z33" s="52"/>
      <c r="AA33" s="33"/>
      <c r="AB33" s="33"/>
      <c r="AC33" s="33"/>
      <c r="AD33" s="33"/>
      <c r="AE33" s="33"/>
      <c r="AF33" s="33"/>
      <c r="AG33" s="33"/>
      <c r="AH33" s="33"/>
      <c r="AI33" s="108" t="s">
        <v>38</v>
      </c>
      <c r="AJ33" s="109"/>
      <c r="AK33" s="33"/>
    </row>
    <row r="34" spans="1:37">
      <c r="A34" s="33"/>
      <c r="B34" s="26" t="s">
        <v>27</v>
      </c>
      <c r="C34" s="29">
        <v>3</v>
      </c>
      <c r="D34" s="29">
        <v>4</v>
      </c>
      <c r="E34" s="29">
        <v>1</v>
      </c>
      <c r="F34" s="29">
        <v>4</v>
      </c>
      <c r="G34" s="29">
        <v>2</v>
      </c>
      <c r="H34" s="30">
        <v>4</v>
      </c>
      <c r="I34" s="36"/>
      <c r="J34" s="26" t="s">
        <v>19</v>
      </c>
      <c r="K34" s="24">
        <v>3</v>
      </c>
      <c r="L34" s="24">
        <v>2</v>
      </c>
      <c r="M34" s="24">
        <v>3</v>
      </c>
      <c r="N34" s="24">
        <v>2</v>
      </c>
      <c r="O34" s="24">
        <v>2</v>
      </c>
      <c r="P34" s="24">
        <v>3</v>
      </c>
      <c r="Q34" s="27">
        <v>15</v>
      </c>
      <c r="R34" s="33"/>
      <c r="T34" s="33"/>
      <c r="U34" s="86"/>
      <c r="V34" s="83" t="s">
        <v>24</v>
      </c>
      <c r="W34" s="83" t="s">
        <v>25</v>
      </c>
      <c r="X34" s="83" t="s">
        <v>26</v>
      </c>
      <c r="Y34" s="34"/>
      <c r="Z34" s="34"/>
      <c r="AA34" s="33"/>
      <c r="AB34" s="33"/>
      <c r="AC34" s="33"/>
      <c r="AD34" s="33"/>
      <c r="AE34" s="33"/>
      <c r="AF34" s="33"/>
      <c r="AG34" s="33"/>
      <c r="AH34" s="33"/>
      <c r="AI34" s="47" t="s">
        <v>9</v>
      </c>
      <c r="AJ34" s="3" t="s">
        <v>39</v>
      </c>
      <c r="AK34" s="33"/>
    </row>
    <row r="35" spans="1:37">
      <c r="A35" s="33"/>
      <c r="B35" s="7" t="s">
        <v>28</v>
      </c>
      <c r="C35" s="1">
        <v>4</v>
      </c>
      <c r="D35" s="1">
        <v>3</v>
      </c>
      <c r="E35" s="1">
        <v>2</v>
      </c>
      <c r="F35" s="1">
        <v>3</v>
      </c>
      <c r="G35" s="1">
        <v>4</v>
      </c>
      <c r="H35" s="8">
        <v>3</v>
      </c>
      <c r="I35" s="36"/>
      <c r="J35" s="7" t="s">
        <v>20</v>
      </c>
      <c r="K35" s="9">
        <v>4</v>
      </c>
      <c r="L35" s="9">
        <v>4</v>
      </c>
      <c r="M35" s="9">
        <v>4</v>
      </c>
      <c r="N35" s="9">
        <v>4</v>
      </c>
      <c r="O35" s="9">
        <v>3</v>
      </c>
      <c r="P35" s="9">
        <v>4</v>
      </c>
      <c r="Q35" s="11">
        <v>7</v>
      </c>
      <c r="R35" s="33"/>
      <c r="T35" s="33"/>
      <c r="U35" s="14" t="s">
        <v>19</v>
      </c>
      <c r="V35" s="55">
        <v>17</v>
      </c>
      <c r="W35" s="55">
        <v>18</v>
      </c>
      <c r="X35" s="22">
        <v>17</v>
      </c>
      <c r="Y35" s="34"/>
      <c r="Z35" s="34"/>
      <c r="AA35" s="33"/>
      <c r="AB35" s="33"/>
      <c r="AC35" s="33"/>
      <c r="AD35" s="33"/>
      <c r="AE35" s="33"/>
      <c r="AF35" s="33"/>
      <c r="AG35" s="33"/>
      <c r="AH35" s="33"/>
      <c r="AI35" s="14" t="s">
        <v>19</v>
      </c>
      <c r="AJ35" s="22">
        <f>SUM(V35:X35)</f>
        <v>52</v>
      </c>
      <c r="AK35" s="33"/>
    </row>
    <row r="36" spans="1:37">
      <c r="A36" s="33"/>
      <c r="B36" s="23" t="s">
        <v>29</v>
      </c>
      <c r="C36" s="31">
        <v>2</v>
      </c>
      <c r="D36" s="31">
        <v>2</v>
      </c>
      <c r="E36" s="31">
        <v>4</v>
      </c>
      <c r="F36" s="31">
        <v>1</v>
      </c>
      <c r="G36" s="31">
        <v>1</v>
      </c>
      <c r="H36" s="32">
        <v>2</v>
      </c>
      <c r="I36" s="36"/>
      <c r="J36" s="23" t="s">
        <v>21</v>
      </c>
      <c r="K36" s="24">
        <v>2</v>
      </c>
      <c r="L36" s="24">
        <v>3</v>
      </c>
      <c r="M36" s="24">
        <v>2</v>
      </c>
      <c r="N36" s="24">
        <v>3</v>
      </c>
      <c r="O36" s="24">
        <v>1</v>
      </c>
      <c r="P36" s="24">
        <v>1</v>
      </c>
      <c r="Q36" s="25">
        <v>18</v>
      </c>
      <c r="R36" s="33"/>
      <c r="T36" s="33"/>
      <c r="U36" s="10" t="s">
        <v>20</v>
      </c>
      <c r="V36" s="9">
        <v>12</v>
      </c>
      <c r="W36" s="151">
        <v>12</v>
      </c>
      <c r="X36" s="11">
        <v>6</v>
      </c>
      <c r="Y36" s="34"/>
      <c r="Z36" s="34"/>
      <c r="AA36" s="33"/>
      <c r="AB36" s="33"/>
      <c r="AC36" s="33"/>
      <c r="AD36" s="33"/>
      <c r="AE36" s="33"/>
      <c r="AF36" s="33"/>
      <c r="AG36" s="33"/>
      <c r="AH36" s="33"/>
      <c r="AI36" s="10" t="s">
        <v>20</v>
      </c>
      <c r="AJ36" s="11">
        <f>SUM(V36:X36)</f>
        <v>30</v>
      </c>
      <c r="AK36" s="33"/>
    </row>
    <row r="37" spans="1:37">
      <c r="A37" s="33"/>
      <c r="B37" s="4" t="s">
        <v>30</v>
      </c>
      <c r="C37" s="5">
        <v>1</v>
      </c>
      <c r="D37" s="5">
        <v>1</v>
      </c>
      <c r="E37" s="5">
        <v>3</v>
      </c>
      <c r="F37" s="5">
        <v>2</v>
      </c>
      <c r="G37" s="5">
        <v>3</v>
      </c>
      <c r="H37" s="6">
        <v>1</v>
      </c>
      <c r="I37" s="36"/>
      <c r="J37" s="4" t="s">
        <v>22</v>
      </c>
      <c r="K37" s="13">
        <v>1</v>
      </c>
      <c r="L37" s="13">
        <v>1</v>
      </c>
      <c r="M37" s="13">
        <v>1</v>
      </c>
      <c r="N37" s="13">
        <v>1</v>
      </c>
      <c r="O37" s="13">
        <v>4</v>
      </c>
      <c r="P37" s="13">
        <v>2</v>
      </c>
      <c r="Q37" s="16">
        <v>20</v>
      </c>
      <c r="R37" s="33"/>
      <c r="T37" s="33"/>
      <c r="U37" s="14" t="s">
        <v>21</v>
      </c>
      <c r="V37" s="57">
        <v>15</v>
      </c>
      <c r="W37" s="150">
        <v>12</v>
      </c>
      <c r="X37" s="20">
        <v>18</v>
      </c>
      <c r="Y37" s="34"/>
      <c r="Z37" s="34"/>
      <c r="AA37" s="33"/>
      <c r="AB37" s="33"/>
      <c r="AC37" s="33"/>
      <c r="AD37" s="33"/>
      <c r="AE37" s="33"/>
      <c r="AF37" s="33"/>
      <c r="AG37" s="33"/>
      <c r="AH37" s="33"/>
      <c r="AI37" s="14" t="s">
        <v>21</v>
      </c>
      <c r="AJ37" s="20">
        <f>SUM(V37:X37)</f>
        <v>45</v>
      </c>
      <c r="AK37" s="33"/>
    </row>
    <row r="38" spans="1:37">
      <c r="A38" s="33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3"/>
      <c r="T38" s="33"/>
      <c r="U38" s="12" t="s">
        <v>22</v>
      </c>
      <c r="V38" s="56">
        <v>16</v>
      </c>
      <c r="W38" s="53">
        <v>18</v>
      </c>
      <c r="X38" s="16">
        <v>19</v>
      </c>
      <c r="Y38" s="34"/>
      <c r="Z38" s="34"/>
      <c r="AA38" s="33"/>
      <c r="AB38" s="33"/>
      <c r="AC38" s="33"/>
      <c r="AD38" s="33"/>
      <c r="AE38" s="33"/>
      <c r="AF38" s="33"/>
      <c r="AG38" s="33"/>
      <c r="AH38" s="33"/>
      <c r="AI38" s="12" t="s">
        <v>22</v>
      </c>
      <c r="AJ38" s="16">
        <f>SUM(V38:X38)</f>
        <v>53</v>
      </c>
      <c r="AK38" s="33"/>
    </row>
    <row r="39" spans="1:37">
      <c r="A39" s="33"/>
      <c r="B39" s="125" t="s">
        <v>40</v>
      </c>
      <c r="C39" s="126"/>
      <c r="D39" s="126"/>
      <c r="E39" s="126"/>
      <c r="F39" s="126"/>
      <c r="G39" s="126"/>
      <c r="H39" s="127"/>
      <c r="I39" s="36"/>
      <c r="J39" s="125" t="s">
        <v>40</v>
      </c>
      <c r="K39" s="126"/>
      <c r="L39" s="126"/>
      <c r="M39" s="126"/>
      <c r="N39" s="126"/>
      <c r="O39" s="126"/>
      <c r="P39" s="126"/>
      <c r="Q39" s="127"/>
      <c r="R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</row>
    <row r="40" spans="1:37">
      <c r="A40" s="33"/>
      <c r="B40" s="120" t="s">
        <v>9</v>
      </c>
      <c r="C40" s="116" t="s">
        <v>10</v>
      </c>
      <c r="D40" s="116"/>
      <c r="E40" s="116"/>
      <c r="F40" s="116"/>
      <c r="G40" s="116"/>
      <c r="H40" s="117"/>
      <c r="I40" s="36"/>
      <c r="J40" s="118" t="s">
        <v>9</v>
      </c>
      <c r="K40" s="102" t="s">
        <v>10</v>
      </c>
      <c r="L40" s="102"/>
      <c r="M40" s="102"/>
      <c r="N40" s="102"/>
      <c r="O40" s="102"/>
      <c r="P40" s="102"/>
      <c r="Q40" s="103"/>
      <c r="R40" s="33"/>
    </row>
    <row r="41" spans="1:37">
      <c r="A41" s="33"/>
      <c r="B41" s="119"/>
      <c r="C41" s="2" t="s">
        <v>12</v>
      </c>
      <c r="D41" s="2" t="s">
        <v>13</v>
      </c>
      <c r="E41" s="2" t="s">
        <v>14</v>
      </c>
      <c r="F41" s="2" t="s">
        <v>15</v>
      </c>
      <c r="G41" s="2" t="s">
        <v>16</v>
      </c>
      <c r="H41" s="3" t="s">
        <v>17</v>
      </c>
      <c r="I41" s="36"/>
      <c r="J41" s="119"/>
      <c r="K41" s="9" t="s">
        <v>12</v>
      </c>
      <c r="L41" s="9" t="s">
        <v>13</v>
      </c>
      <c r="M41" s="9" t="s">
        <v>14</v>
      </c>
      <c r="N41" s="9" t="s">
        <v>15</v>
      </c>
      <c r="O41" s="9" t="s">
        <v>16</v>
      </c>
      <c r="P41" s="9" t="s">
        <v>17</v>
      </c>
      <c r="Q41" s="11" t="s">
        <v>18</v>
      </c>
      <c r="R41" s="33"/>
    </row>
    <row r="42" spans="1:37">
      <c r="A42" s="33"/>
      <c r="B42" s="26" t="s">
        <v>27</v>
      </c>
      <c r="C42" s="29">
        <v>2</v>
      </c>
      <c r="D42" s="29">
        <v>4</v>
      </c>
      <c r="E42" s="29">
        <v>3</v>
      </c>
      <c r="F42" s="29">
        <v>4</v>
      </c>
      <c r="G42" s="29">
        <v>3</v>
      </c>
      <c r="H42" s="30">
        <v>4</v>
      </c>
      <c r="I42" s="36"/>
      <c r="J42" s="26" t="s">
        <v>19</v>
      </c>
      <c r="K42" s="24">
        <v>2</v>
      </c>
      <c r="L42" s="24">
        <v>2</v>
      </c>
      <c r="M42" s="24">
        <v>1</v>
      </c>
      <c r="N42" s="24">
        <v>2</v>
      </c>
      <c r="O42" s="24">
        <v>3</v>
      </c>
      <c r="P42" s="24">
        <v>3</v>
      </c>
      <c r="Q42" s="25">
        <v>17</v>
      </c>
      <c r="R42" s="33"/>
    </row>
    <row r="43" spans="1:37">
      <c r="A43" s="33"/>
      <c r="B43" s="7" t="s">
        <v>28</v>
      </c>
      <c r="C43" s="1">
        <v>4</v>
      </c>
      <c r="D43" s="1">
        <v>3</v>
      </c>
      <c r="E43" s="1">
        <v>2</v>
      </c>
      <c r="F43" s="1">
        <v>3</v>
      </c>
      <c r="G43" s="1">
        <v>2</v>
      </c>
      <c r="H43" s="8">
        <v>3</v>
      </c>
      <c r="I43" s="36"/>
      <c r="J43" s="7" t="s">
        <v>20</v>
      </c>
      <c r="K43" s="9">
        <v>4</v>
      </c>
      <c r="L43" s="9">
        <v>4</v>
      </c>
      <c r="M43" s="9">
        <v>4</v>
      </c>
      <c r="N43" s="9">
        <v>4</v>
      </c>
      <c r="O43" s="9">
        <v>4</v>
      </c>
      <c r="P43" s="9">
        <v>4</v>
      </c>
      <c r="Q43" s="11">
        <v>6</v>
      </c>
      <c r="R43" s="33"/>
    </row>
    <row r="44" spans="1:37">
      <c r="A44" s="33"/>
      <c r="B44" s="23" t="s">
        <v>29</v>
      </c>
      <c r="C44" s="31">
        <v>3</v>
      </c>
      <c r="D44" s="31">
        <v>2</v>
      </c>
      <c r="E44" s="31">
        <v>4</v>
      </c>
      <c r="F44" s="31">
        <v>1</v>
      </c>
      <c r="G44" s="31">
        <v>1</v>
      </c>
      <c r="H44" s="32">
        <v>1</v>
      </c>
      <c r="I44" s="36"/>
      <c r="J44" s="23" t="s">
        <v>21</v>
      </c>
      <c r="K44" s="24">
        <v>3</v>
      </c>
      <c r="L44" s="24">
        <v>3</v>
      </c>
      <c r="M44" s="24">
        <v>2</v>
      </c>
      <c r="N44" s="24">
        <v>3</v>
      </c>
      <c r="O44" s="24">
        <v>1</v>
      </c>
      <c r="P44" s="24">
        <v>2</v>
      </c>
      <c r="Q44" s="27">
        <v>16</v>
      </c>
      <c r="R44" s="33"/>
    </row>
    <row r="45" spans="1:37">
      <c r="A45" s="33"/>
      <c r="B45" s="4" t="s">
        <v>30</v>
      </c>
      <c r="C45" s="5">
        <v>1</v>
      </c>
      <c r="D45" s="5">
        <v>1</v>
      </c>
      <c r="E45" s="5">
        <v>1</v>
      </c>
      <c r="F45" s="5">
        <v>2</v>
      </c>
      <c r="G45" s="5">
        <v>4</v>
      </c>
      <c r="H45" s="6">
        <v>2</v>
      </c>
      <c r="I45" s="36"/>
      <c r="J45" s="4" t="s">
        <v>22</v>
      </c>
      <c r="K45" s="13">
        <v>1</v>
      </c>
      <c r="L45" s="13">
        <v>1</v>
      </c>
      <c r="M45" s="13">
        <v>3</v>
      </c>
      <c r="N45" s="13">
        <v>1</v>
      </c>
      <c r="O45" s="13">
        <v>2</v>
      </c>
      <c r="P45" s="13">
        <v>1</v>
      </c>
      <c r="Q45" s="16">
        <v>21</v>
      </c>
      <c r="R45" s="33"/>
    </row>
    <row r="46" spans="1:37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</row>
    <row r="47" spans="1:3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</row>
    <row r="48" spans="1:37">
      <c r="A48" s="33"/>
      <c r="B48" s="99" t="s">
        <v>41</v>
      </c>
      <c r="C48" s="100"/>
      <c r="D48" s="100"/>
      <c r="E48" s="100"/>
      <c r="F48" s="100"/>
      <c r="G48" s="101"/>
      <c r="H48" s="33"/>
      <c r="I48" s="33"/>
      <c r="J48" s="33"/>
      <c r="K48" s="33"/>
      <c r="L48" s="33"/>
      <c r="M48" s="33"/>
      <c r="N48" s="33"/>
      <c r="O48" s="33"/>
      <c r="P48" s="92" t="s">
        <v>42</v>
      </c>
      <c r="Q48" s="93"/>
      <c r="R48" s="33"/>
    </row>
    <row r="49" spans="1:18">
      <c r="A49" s="33"/>
      <c r="B49" s="104" t="s">
        <v>9</v>
      </c>
      <c r="C49" s="102" t="s">
        <v>11</v>
      </c>
      <c r="D49" s="102"/>
      <c r="E49" s="102"/>
      <c r="F49" s="102"/>
      <c r="G49" s="103"/>
      <c r="H49" s="33"/>
      <c r="I49" s="33"/>
      <c r="J49" s="33"/>
      <c r="K49" s="33"/>
      <c r="L49" s="33"/>
      <c r="M49" s="33"/>
      <c r="N49" s="33"/>
      <c r="O49" s="33"/>
      <c r="P49" s="94" t="s">
        <v>43</v>
      </c>
      <c r="Q49" s="95"/>
      <c r="R49" s="33"/>
    </row>
    <row r="50" spans="1:18">
      <c r="A50" s="33"/>
      <c r="B50" s="105"/>
      <c r="C50" s="9" t="s">
        <v>19</v>
      </c>
      <c r="D50" s="9" t="s">
        <v>20</v>
      </c>
      <c r="E50" s="9" t="s">
        <v>21</v>
      </c>
      <c r="F50" s="9" t="s">
        <v>22</v>
      </c>
      <c r="G50" s="9" t="s">
        <v>23</v>
      </c>
      <c r="H50" s="33"/>
      <c r="I50" s="33"/>
      <c r="J50" s="33"/>
      <c r="K50" s="33"/>
      <c r="L50" s="33"/>
      <c r="M50" s="33"/>
      <c r="N50" s="33"/>
      <c r="O50" s="33"/>
      <c r="P50" s="47" t="s">
        <v>9</v>
      </c>
      <c r="Q50" s="3" t="s">
        <v>39</v>
      </c>
      <c r="R50" s="33"/>
    </row>
    <row r="51" spans="1:18">
      <c r="A51" s="33"/>
      <c r="B51" s="46" t="s">
        <v>19</v>
      </c>
      <c r="C51" s="44">
        <v>18</v>
      </c>
      <c r="D51" s="24">
        <v>11</v>
      </c>
      <c r="E51" s="43">
        <v>16</v>
      </c>
      <c r="F51" s="43">
        <v>15</v>
      </c>
      <c r="G51" s="25">
        <v>17</v>
      </c>
      <c r="H51" s="33"/>
      <c r="I51" s="33"/>
      <c r="J51" s="33"/>
      <c r="K51" s="33"/>
      <c r="L51" s="33"/>
      <c r="M51" s="33"/>
      <c r="N51" s="33"/>
      <c r="O51" s="33"/>
      <c r="P51" s="46" t="s">
        <v>19</v>
      </c>
      <c r="Q51" s="27">
        <f>18+11+16+15+17</f>
        <v>77</v>
      </c>
      <c r="R51" s="33"/>
    </row>
    <row r="52" spans="1:18">
      <c r="A52" s="33"/>
      <c r="B52" s="10" t="s">
        <v>20</v>
      </c>
      <c r="C52" s="9">
        <v>6</v>
      </c>
      <c r="D52" s="45">
        <v>20</v>
      </c>
      <c r="E52" s="9">
        <v>6</v>
      </c>
      <c r="F52" s="9">
        <v>7</v>
      </c>
      <c r="G52" s="11">
        <v>6</v>
      </c>
      <c r="H52" s="33"/>
      <c r="I52" s="33"/>
      <c r="J52" s="33"/>
      <c r="K52" s="33"/>
      <c r="L52" s="33"/>
      <c r="M52" s="33"/>
      <c r="N52" s="33"/>
      <c r="O52" s="33"/>
      <c r="P52" s="10" t="s">
        <v>20</v>
      </c>
      <c r="Q52" s="11">
        <f>6+20+6+7+6</f>
        <v>45</v>
      </c>
      <c r="R52" s="33"/>
    </row>
    <row r="53" spans="1:18">
      <c r="A53" s="33"/>
      <c r="B53" s="46" t="s">
        <v>21</v>
      </c>
      <c r="C53" s="43">
        <v>14</v>
      </c>
      <c r="D53" s="44">
        <v>17</v>
      </c>
      <c r="E53" s="44">
        <v>17</v>
      </c>
      <c r="F53" s="44">
        <v>18</v>
      </c>
      <c r="G53" s="27">
        <v>16</v>
      </c>
      <c r="H53" s="33"/>
      <c r="I53" s="33"/>
      <c r="J53" s="33"/>
      <c r="K53" s="33"/>
      <c r="L53" s="33"/>
      <c r="M53" s="33"/>
      <c r="N53" s="33"/>
      <c r="O53" s="33"/>
      <c r="P53" s="46" t="s">
        <v>21</v>
      </c>
      <c r="Q53" s="25">
        <f>14+17+17+18+16</f>
        <v>82</v>
      </c>
      <c r="R53" s="33"/>
    </row>
    <row r="54" spans="1:18">
      <c r="A54" s="33"/>
      <c r="B54" s="12" t="s">
        <v>22</v>
      </c>
      <c r="C54" s="53">
        <v>22</v>
      </c>
      <c r="D54" s="54">
        <v>12</v>
      </c>
      <c r="E54" s="53">
        <v>21</v>
      </c>
      <c r="F54" s="53">
        <v>20</v>
      </c>
      <c r="G54" s="16">
        <v>21</v>
      </c>
      <c r="H54" s="33"/>
      <c r="I54" s="33"/>
      <c r="J54" s="33"/>
      <c r="K54" s="33"/>
      <c r="L54" s="33"/>
      <c r="M54" s="33"/>
      <c r="N54" s="33"/>
      <c r="O54" s="33"/>
      <c r="P54" s="12" t="s">
        <v>22</v>
      </c>
      <c r="Q54" s="16">
        <f>22+12+21+20+21</f>
        <v>96</v>
      </c>
      <c r="R54" s="33"/>
    </row>
    <row r="55" spans="1:18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</row>
  </sheetData>
  <mergeCells count="68">
    <mergeCell ref="AN2:AW2"/>
    <mergeCell ref="AN5:AW5"/>
    <mergeCell ref="AN7:AW7"/>
    <mergeCell ref="AO8:AW8"/>
    <mergeCell ref="AN8:AN9"/>
    <mergeCell ref="K24:Q24"/>
    <mergeCell ref="J31:Q31"/>
    <mergeCell ref="K32:Q32"/>
    <mergeCell ref="J39:Q39"/>
    <mergeCell ref="K40:Q40"/>
    <mergeCell ref="B39:H39"/>
    <mergeCell ref="B40:B41"/>
    <mergeCell ref="C40:H40"/>
    <mergeCell ref="J8:J9"/>
    <mergeCell ref="J16:J17"/>
    <mergeCell ref="B23:H23"/>
    <mergeCell ref="B24:B25"/>
    <mergeCell ref="C24:H24"/>
    <mergeCell ref="B31:H31"/>
    <mergeCell ref="B32:B33"/>
    <mergeCell ref="C32:H32"/>
    <mergeCell ref="J40:J41"/>
    <mergeCell ref="J24:J25"/>
    <mergeCell ref="J32:J33"/>
    <mergeCell ref="J15:Q15"/>
    <mergeCell ref="K16:Q16"/>
    <mergeCell ref="J23:Q23"/>
    <mergeCell ref="B8:B9"/>
    <mergeCell ref="C8:H8"/>
    <mergeCell ref="B15:H15"/>
    <mergeCell ref="B16:B17"/>
    <mergeCell ref="C16:H16"/>
    <mergeCell ref="B5:H5"/>
    <mergeCell ref="J5:Q5"/>
    <mergeCell ref="S7:S8"/>
    <mergeCell ref="U5:AA5"/>
    <mergeCell ref="J7:Q7"/>
    <mergeCell ref="K8:Q8"/>
    <mergeCell ref="B7:H7"/>
    <mergeCell ref="AC5:AJ5"/>
    <mergeCell ref="U7:AA7"/>
    <mergeCell ref="AC7:AJ7"/>
    <mergeCell ref="U8:U9"/>
    <mergeCell ref="V8:AA8"/>
    <mergeCell ref="AC8:AC9"/>
    <mergeCell ref="AD8:AJ8"/>
    <mergeCell ref="U15:AA15"/>
    <mergeCell ref="AC15:AJ15"/>
    <mergeCell ref="U16:U17"/>
    <mergeCell ref="V16:AA16"/>
    <mergeCell ref="AC16:AC17"/>
    <mergeCell ref="AD16:AJ16"/>
    <mergeCell ref="P48:Q48"/>
    <mergeCell ref="P49:Q49"/>
    <mergeCell ref="B2:Q2"/>
    <mergeCell ref="U2:AJ2"/>
    <mergeCell ref="B48:G48"/>
    <mergeCell ref="C49:G49"/>
    <mergeCell ref="B49:B50"/>
    <mergeCell ref="AI32:AJ32"/>
    <mergeCell ref="AI33:AJ33"/>
    <mergeCell ref="V33:X33"/>
    <mergeCell ref="U32:X32"/>
    <mergeCell ref="U23:AA23"/>
    <mergeCell ref="AC23:AJ23"/>
    <mergeCell ref="V24:AA24"/>
    <mergeCell ref="AC24:AC25"/>
    <mergeCell ref="AD24:AJ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BCC1-A21C-46EF-B3CF-4A7632C07C65}">
  <dimension ref="A1:G13"/>
  <sheetViews>
    <sheetView workbookViewId="0">
      <selection activeCell="E16" sqref="E16"/>
    </sheetView>
  </sheetViews>
  <sheetFormatPr defaultRowHeight="15"/>
  <cols>
    <col min="1" max="1" width="4.140625" customWidth="1"/>
    <col min="2" max="2" width="9.85546875" bestFit="1" customWidth="1"/>
    <col min="3" max="3" width="14.7109375" bestFit="1" customWidth="1"/>
    <col min="4" max="6" width="11.7109375" bestFit="1" customWidth="1"/>
    <col min="7" max="7" width="4.28515625" customWidth="1"/>
  </cols>
  <sheetData>
    <row r="1" spans="1:7">
      <c r="A1" s="63"/>
      <c r="B1" s="63"/>
      <c r="C1" s="63"/>
      <c r="D1" s="63"/>
      <c r="E1" s="63"/>
      <c r="F1" s="63"/>
      <c r="G1" s="63"/>
    </row>
    <row r="2" spans="1:7">
      <c r="A2" s="63"/>
      <c r="B2" s="121" t="s">
        <v>44</v>
      </c>
      <c r="C2" s="122"/>
      <c r="D2" s="122"/>
      <c r="E2" s="122"/>
      <c r="F2" s="123"/>
      <c r="G2" s="63"/>
    </row>
    <row r="3" spans="1:7">
      <c r="A3" s="63"/>
      <c r="B3" s="64"/>
      <c r="C3" s="64"/>
      <c r="D3" s="64"/>
      <c r="E3" s="64"/>
      <c r="F3" s="64"/>
      <c r="G3" s="63"/>
    </row>
    <row r="4" spans="1:7">
      <c r="A4" s="33"/>
      <c r="B4" s="33"/>
      <c r="C4" s="33"/>
      <c r="D4" s="33"/>
      <c r="E4" s="33"/>
      <c r="F4" s="33"/>
      <c r="G4" s="33"/>
    </row>
    <row r="5" spans="1:7">
      <c r="A5" s="33"/>
      <c r="B5" s="139" t="s">
        <v>10</v>
      </c>
      <c r="C5" s="137" t="s">
        <v>45</v>
      </c>
      <c r="D5" s="137"/>
      <c r="E5" s="137"/>
      <c r="F5" s="138"/>
      <c r="G5" s="33"/>
    </row>
    <row r="6" spans="1:7">
      <c r="A6" s="33"/>
      <c r="B6" s="140"/>
      <c r="C6" s="13" t="s">
        <v>27</v>
      </c>
      <c r="D6" s="13" t="s">
        <v>28</v>
      </c>
      <c r="E6" s="13" t="s">
        <v>29</v>
      </c>
      <c r="F6" s="6" t="s">
        <v>30</v>
      </c>
      <c r="G6" s="33"/>
    </row>
    <row r="7" spans="1:7">
      <c r="A7" s="33"/>
      <c r="B7" s="60" t="s">
        <v>12</v>
      </c>
      <c r="C7" s="61" t="s">
        <v>46</v>
      </c>
      <c r="D7" s="61" t="s">
        <v>47</v>
      </c>
      <c r="E7" s="61" t="s">
        <v>21</v>
      </c>
      <c r="F7" s="62" t="s">
        <v>48</v>
      </c>
      <c r="G7" s="33"/>
    </row>
    <row r="8" spans="1:7">
      <c r="A8" s="33"/>
      <c r="B8" s="10" t="s">
        <v>13</v>
      </c>
      <c r="C8" s="9" t="s">
        <v>47</v>
      </c>
      <c r="D8" s="9" t="s">
        <v>21</v>
      </c>
      <c r="E8" s="9" t="s">
        <v>46</v>
      </c>
      <c r="F8" s="11" t="s">
        <v>48</v>
      </c>
      <c r="G8" s="33"/>
    </row>
    <row r="9" spans="1:7">
      <c r="A9" s="33"/>
      <c r="B9" s="58" t="s">
        <v>14</v>
      </c>
      <c r="C9" s="38" t="s">
        <v>48</v>
      </c>
      <c r="D9" s="38" t="s">
        <v>21</v>
      </c>
      <c r="E9" s="38" t="s">
        <v>47</v>
      </c>
      <c r="F9" s="59" t="s">
        <v>46</v>
      </c>
      <c r="G9" s="33"/>
    </row>
    <row r="10" spans="1:7">
      <c r="A10" s="33"/>
      <c r="B10" s="10" t="s">
        <v>15</v>
      </c>
      <c r="C10" s="9" t="s">
        <v>47</v>
      </c>
      <c r="D10" s="9" t="s">
        <v>21</v>
      </c>
      <c r="E10" s="9" t="s">
        <v>48</v>
      </c>
      <c r="F10" s="11" t="s">
        <v>46</v>
      </c>
      <c r="G10" s="33"/>
    </row>
    <row r="11" spans="1:7">
      <c r="A11" s="33"/>
      <c r="B11" s="58" t="s">
        <v>16</v>
      </c>
      <c r="C11" s="38" t="s">
        <v>46</v>
      </c>
      <c r="D11" s="38" t="s">
        <v>48</v>
      </c>
      <c r="E11" s="38" t="s">
        <v>21</v>
      </c>
      <c r="F11" s="59" t="s">
        <v>47</v>
      </c>
      <c r="G11" s="33"/>
    </row>
    <row r="12" spans="1:7">
      <c r="A12" s="33"/>
      <c r="B12" s="12" t="s">
        <v>17</v>
      </c>
      <c r="C12" s="13" t="s">
        <v>47</v>
      </c>
      <c r="D12" s="13" t="s">
        <v>46</v>
      </c>
      <c r="E12" s="13" t="s">
        <v>48</v>
      </c>
      <c r="F12" s="6" t="s">
        <v>21</v>
      </c>
      <c r="G12" s="33"/>
    </row>
    <row r="13" spans="1:7">
      <c r="A13" s="33"/>
      <c r="B13" s="33"/>
      <c r="C13" s="33"/>
      <c r="D13" s="33"/>
      <c r="E13" s="33"/>
      <c r="F13" s="33"/>
      <c r="G13" s="33"/>
    </row>
  </sheetData>
  <mergeCells count="3">
    <mergeCell ref="C5:F5"/>
    <mergeCell ref="B2:F2"/>
    <mergeCell ref="B5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BC58-64FC-4E53-97EA-5746F6851C73}">
  <dimension ref="A1:O16"/>
  <sheetViews>
    <sheetView topLeftCell="C1" workbookViewId="0">
      <selection activeCell="R14" sqref="R14"/>
    </sheetView>
  </sheetViews>
  <sheetFormatPr defaultRowHeight="15"/>
  <cols>
    <col min="1" max="1" width="4.140625" customWidth="1"/>
    <col min="2" max="2" width="10.42578125" customWidth="1"/>
    <col min="3" max="8" width="11.5703125" bestFit="1" customWidth="1"/>
    <col min="9" max="9" width="13" bestFit="1" customWidth="1"/>
    <col min="10" max="10" width="3.7109375" customWidth="1"/>
    <col min="12" max="12" width="10.7109375" bestFit="1" customWidth="1"/>
    <col min="13" max="13" width="13" bestFit="1" customWidth="1"/>
  </cols>
  <sheetData>
    <row r="1" spans="1:15">
      <c r="A1" s="65"/>
      <c r="B1" s="65"/>
      <c r="C1" s="65"/>
      <c r="D1" s="65"/>
      <c r="E1" s="65"/>
      <c r="F1" s="65"/>
      <c r="G1" s="65"/>
      <c r="H1" s="65"/>
      <c r="I1" s="65"/>
      <c r="J1" s="65"/>
    </row>
    <row r="2" spans="1:15">
      <c r="A2" s="65"/>
      <c r="B2" s="141" t="s">
        <v>49</v>
      </c>
      <c r="C2" s="142"/>
      <c r="D2" s="142"/>
      <c r="E2" s="142"/>
      <c r="F2" s="142"/>
      <c r="G2" s="142"/>
      <c r="H2" s="142"/>
      <c r="I2" s="143"/>
      <c r="J2" s="65"/>
    </row>
    <row r="3" spans="1:15">
      <c r="A3" s="65"/>
      <c r="B3" s="66"/>
      <c r="C3" s="66"/>
      <c r="D3" s="66"/>
      <c r="E3" s="66"/>
      <c r="F3" s="66"/>
      <c r="G3" s="66"/>
      <c r="H3" s="66"/>
      <c r="I3" s="66"/>
      <c r="J3" s="65"/>
    </row>
    <row r="4" spans="1:15">
      <c r="A4" s="33"/>
      <c r="B4" s="34"/>
      <c r="C4" s="34"/>
      <c r="D4" s="34"/>
      <c r="E4" s="34"/>
      <c r="F4" s="34"/>
      <c r="G4" s="34"/>
      <c r="H4" s="34"/>
      <c r="I4" s="34"/>
      <c r="J4" s="33"/>
    </row>
    <row r="5" spans="1:15">
      <c r="A5" s="33"/>
      <c r="B5" s="144" t="s">
        <v>50</v>
      </c>
      <c r="C5" s="145"/>
      <c r="D5" s="145"/>
      <c r="E5" s="145"/>
      <c r="F5" s="145"/>
      <c r="G5" s="145"/>
      <c r="H5" s="145"/>
      <c r="I5" s="146"/>
      <c r="J5" s="33"/>
    </row>
    <row r="6" spans="1:15">
      <c r="A6" s="33"/>
      <c r="B6" s="105" t="s">
        <v>9</v>
      </c>
      <c r="C6" s="102" t="s">
        <v>10</v>
      </c>
      <c r="D6" s="102"/>
      <c r="E6" s="102"/>
      <c r="F6" s="102"/>
      <c r="G6" s="102"/>
      <c r="H6" s="102"/>
      <c r="I6" s="103"/>
      <c r="J6" s="33"/>
    </row>
    <row r="7" spans="1:15">
      <c r="A7" s="33"/>
      <c r="B7" s="147"/>
      <c r="C7" s="9" t="s">
        <v>12</v>
      </c>
      <c r="D7" s="9" t="s">
        <v>13</v>
      </c>
      <c r="E7" s="9" t="s">
        <v>14</v>
      </c>
      <c r="F7" s="9" t="s">
        <v>15</v>
      </c>
      <c r="G7" s="9" t="s">
        <v>16</v>
      </c>
      <c r="H7" s="9" t="s">
        <v>17</v>
      </c>
      <c r="I7" s="11" t="s">
        <v>51</v>
      </c>
      <c r="J7" s="33"/>
      <c r="L7" t="s">
        <v>52</v>
      </c>
      <c r="M7" s="11" t="s">
        <v>51</v>
      </c>
      <c r="N7" t="s">
        <v>18</v>
      </c>
    </row>
    <row r="8" spans="1:15">
      <c r="A8" s="33"/>
      <c r="B8" s="67" t="s">
        <v>19</v>
      </c>
      <c r="C8" s="68" t="s">
        <v>53</v>
      </c>
      <c r="D8" s="68" t="s">
        <v>54</v>
      </c>
      <c r="E8" s="68" t="s">
        <v>55</v>
      </c>
      <c r="F8" s="68" t="s">
        <v>56</v>
      </c>
      <c r="G8" s="68" t="s">
        <v>57</v>
      </c>
      <c r="H8" s="68" t="s">
        <v>58</v>
      </c>
      <c r="I8" s="69" t="s">
        <v>59</v>
      </c>
      <c r="J8" s="33"/>
      <c r="L8" s="67" t="s">
        <v>19</v>
      </c>
      <c r="M8" s="69">
        <v>1.294</v>
      </c>
      <c r="N8">
        <v>129</v>
      </c>
    </row>
    <row r="9" spans="1:15">
      <c r="A9" s="33"/>
      <c r="B9" s="10" t="s">
        <v>20</v>
      </c>
      <c r="C9" s="9" t="s">
        <v>60</v>
      </c>
      <c r="D9" s="9" t="s">
        <v>61</v>
      </c>
      <c r="E9" s="9" t="s">
        <v>62</v>
      </c>
      <c r="F9" s="9" t="s">
        <v>63</v>
      </c>
      <c r="G9" s="9" t="s">
        <v>64</v>
      </c>
      <c r="H9" s="9" t="s">
        <v>65</v>
      </c>
      <c r="I9" s="17" t="s">
        <v>66</v>
      </c>
      <c r="J9" s="33"/>
      <c r="L9" s="10" t="s">
        <v>20</v>
      </c>
      <c r="M9" s="17">
        <v>0.54710000000000003</v>
      </c>
      <c r="N9">
        <v>75</v>
      </c>
    </row>
    <row r="10" spans="1:15">
      <c r="A10" s="33"/>
      <c r="B10" s="67" t="s">
        <v>21</v>
      </c>
      <c r="C10" s="68" t="s">
        <v>67</v>
      </c>
      <c r="D10" s="68" t="s">
        <v>68</v>
      </c>
      <c r="E10" s="68" t="s">
        <v>69</v>
      </c>
      <c r="F10" s="68" t="s">
        <v>70</v>
      </c>
      <c r="G10" s="68" t="s">
        <v>71</v>
      </c>
      <c r="H10" s="68" t="s">
        <v>72</v>
      </c>
      <c r="I10" s="70" t="s">
        <v>73</v>
      </c>
      <c r="J10" s="33"/>
      <c r="L10" s="67" t="s">
        <v>21</v>
      </c>
      <c r="M10" s="70">
        <v>29.195499999999999</v>
      </c>
      <c r="N10">
        <v>127</v>
      </c>
    </row>
    <row r="11" spans="1:15">
      <c r="A11" s="33"/>
      <c r="B11" s="12" t="s">
        <v>22</v>
      </c>
      <c r="C11" s="13" t="s">
        <v>74</v>
      </c>
      <c r="D11" s="13" t="s">
        <v>75</v>
      </c>
      <c r="E11" s="13" t="s">
        <v>76</v>
      </c>
      <c r="F11" s="13" t="s">
        <v>77</v>
      </c>
      <c r="G11" s="13" t="s">
        <v>78</v>
      </c>
      <c r="H11" s="13" t="s">
        <v>79</v>
      </c>
      <c r="I11" s="71" t="s">
        <v>80</v>
      </c>
      <c r="J11" s="33"/>
      <c r="L11" s="12" t="s">
        <v>22</v>
      </c>
      <c r="M11" s="71">
        <v>1.2387999999999999</v>
      </c>
      <c r="N11">
        <v>149</v>
      </c>
    </row>
    <row r="12" spans="1:15">
      <c r="A12" s="33"/>
      <c r="B12" s="33"/>
      <c r="C12" s="33"/>
      <c r="D12" s="33"/>
      <c r="E12" s="33"/>
      <c r="F12" s="33"/>
      <c r="G12" s="33"/>
      <c r="H12" s="33"/>
      <c r="I12" s="33"/>
      <c r="J12" s="33"/>
    </row>
    <row r="13" spans="1:15">
      <c r="F13" s="72"/>
    </row>
    <row r="14" spans="1:15">
      <c r="F14" s="72"/>
    </row>
    <row r="15" spans="1:15">
      <c r="F15" s="72"/>
      <c r="K15" s="37"/>
      <c r="L15" s="89"/>
      <c r="M15" s="90"/>
      <c r="N15" s="37"/>
      <c r="O15" s="91"/>
    </row>
    <row r="16" spans="1:15">
      <c r="F16" s="72"/>
    </row>
  </sheetData>
  <mergeCells count="4">
    <mergeCell ref="B2:I2"/>
    <mergeCell ref="B5:I5"/>
    <mergeCell ref="B6:B7"/>
    <mergeCell ref="C6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2026-07-08T14:26:03Z</dcterms:created>
  <dcterms:modified xsi:type="dcterms:W3CDTF">2026-07-10T14:58:35Z</dcterms:modified>
  <cp:category/>
  <cp:contentStatus/>
</cp:coreProperties>
</file>